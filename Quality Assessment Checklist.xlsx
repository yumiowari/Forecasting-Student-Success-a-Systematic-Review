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736" documentId="8_{0C1510A6-705D-4126-89C6-B133C15230FE}" xr6:coauthVersionLast="47" xr6:coauthVersionMax="47" xr10:uidLastSave="{ABBD57F6-8F76-42BB-AFC6-CC903147853E}"/>
  <bookViews>
    <workbookView xWindow="45" yWindow="1155" windowWidth="21600" windowHeight="11295" xr2:uid="{BDAE1E0C-720D-4861-A4CE-923FFB784E21}"/>
  </bookViews>
  <sheets>
    <sheet name="Quality Assessment 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5" i="1" l="1"/>
  <c r="N75" i="1"/>
  <c r="O75" i="1"/>
  <c r="P75" i="1"/>
  <c r="Q75" i="1"/>
  <c r="R75" i="1"/>
  <c r="M76" i="1"/>
  <c r="N76" i="1"/>
  <c r="O76" i="1"/>
  <c r="P76" i="1"/>
  <c r="Q76" i="1"/>
  <c r="R76" i="1"/>
  <c r="M77" i="1"/>
  <c r="N77" i="1"/>
  <c r="O77" i="1"/>
  <c r="P77" i="1"/>
  <c r="Q77" i="1"/>
  <c r="R77" i="1"/>
  <c r="M78" i="1"/>
  <c r="N78" i="1"/>
  <c r="O78" i="1"/>
  <c r="P78" i="1"/>
  <c r="Q78" i="1"/>
  <c r="R78" i="1"/>
  <c r="N74" i="1"/>
  <c r="O74" i="1"/>
  <c r="P74" i="1"/>
  <c r="Q74" i="1"/>
  <c r="R74" i="1"/>
  <c r="M74" i="1"/>
  <c r="N71" i="1"/>
  <c r="O71" i="1"/>
  <c r="P71" i="1"/>
  <c r="Q71" i="1"/>
  <c r="R71" i="1"/>
  <c r="M71" i="1"/>
  <c r="K2" i="1" a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<sst xmlns="http://schemas.openxmlformats.org/spreadsheetml/2006/main" count="163" uniqueCount="148">
  <si>
    <t>DOI</t>
  </si>
  <si>
    <t>Title</t>
  </si>
  <si>
    <t>QQ1</t>
  </si>
  <si>
    <t>QQ2</t>
  </si>
  <si>
    <t>QQ3</t>
  </si>
  <si>
    <t>QQ4</t>
  </si>
  <si>
    <t>QQ5</t>
  </si>
  <si>
    <t>QQ6</t>
  </si>
  <si>
    <t>Predicting Student Performance on a Novel Moodle Dataset Using GRU Time Series Model</t>
  </si>
  <si>
    <t>10.22364/bjmc.2025.13.4.07</t>
  </si>
  <si>
    <t>Introducing the Hyperdynamic Adaptive Learning Fusion (HALF) model for superior predictive analytics in E-learning</t>
  </si>
  <si>
    <t>10.1007/s00521-025-11018-7</t>
  </si>
  <si>
    <t>10.34028/iajit/23/4/13</t>
  </si>
  <si>
    <t>Cognitive-Fuzzy Learning System-Based University English Smart Classroom Teaching Design and Application</t>
  </si>
  <si>
    <t>10.1007/s42979-022-01251-5</t>
  </si>
  <si>
    <t>A Hybrid Approach Using Decision Tree and Multiple Linear Regression for Predicting Students’ Performance Based on Learning Progress and Behavior</t>
  </si>
  <si>
    <t>10.1007/s44163-025-00651-9</t>
  </si>
  <si>
    <t>Research on the refinement of college student education management based on artificial intelligence</t>
  </si>
  <si>
    <t>10.5281/zenodo.14503515</t>
  </si>
  <si>
    <t>Investigating Demographic Features and their Connection to Performance, Predictions, and Fairness in EDM Models</t>
  </si>
  <si>
    <t>10.5281/zenodo.8115647</t>
  </si>
  <si>
    <t>Investigating the Importance of Demographic Features for EDM-Predictions</t>
  </si>
  <si>
    <t>10.1504/IJICT.2024.143413</t>
  </si>
  <si>
    <t>Assessment of civic education in universities from a multidimensional perspective: the Integration of OBE and CIPP models</t>
  </si>
  <si>
    <t>10.1109/ICECCC61767.2024.10593955</t>
  </si>
  <si>
    <t>Predicting Student Dropout Rates in Massive Open Online Courses Using an Attention-Based GCNN Model</t>
  </si>
  <si>
    <t>10.1109/ACCESS.2022.3195531</t>
  </si>
  <si>
    <t>IntelliDaM: A Machine Learning-Based Framework for Enhancing the Performance of Decision-Making Processes. A Case Study for Educational Data Mining</t>
  </si>
  <si>
    <t>10.3390/electronics15132801</t>
  </si>
  <si>
    <t>Design and Implementation of an Intelligent Diagnostic System for Academic Performance Analysis in Medical Education</t>
  </si>
  <si>
    <t>10.1016/j.compeleceng.2022.108409</t>
  </si>
  <si>
    <t>MOOC dropout prediction using a fusion deep model based on behaviour features</t>
  </si>
  <si>
    <t>Students’ engagement prediction in online learning context via face emotion and data features with improved LinkNet and Bi-LSTM architecture</t>
  </si>
  <si>
    <t>10.1007/s12652-025-04997-x</t>
  </si>
  <si>
    <t>One Aggregated Approach in Multidisciplinary Based Modeling to Predict Further Students’ Education</t>
  </si>
  <si>
    <t>10.3390/math10142381</t>
  </si>
  <si>
    <t>Predicting and Understanding Student Learning Performance Using Multi-Source Sparse Attention Convolutional Neural Networks</t>
  </si>
  <si>
    <t>10.1109/TBDATA.2021.3125204</t>
  </si>
  <si>
    <t>Early warning and recommendation system for undergraduate students at higher education institutions based on machine learning methods</t>
  </si>
  <si>
    <t>10.7717/peerj-cs.3792</t>
  </si>
  <si>
    <t>10.1109/ACCESS.2025.3550817</t>
  </si>
  <si>
    <t>Predicting Student Dropout Through Text and Media Content Analysis of VKontakte Profiles</t>
  </si>
  <si>
    <t>Application of GA-BP Neural Network in Online Education Quality Evaluation in Colleges and Universities</t>
  </si>
  <si>
    <t>10.1155/2022/7846247</t>
  </si>
  <si>
    <t>10.1117/12.3082462</t>
  </si>
  <si>
    <t>Research on data modeling and strategy optimization algorithm of teacher guidance behavior for precision teaching</t>
  </si>
  <si>
    <t>10.3390/app142310772</t>
  </si>
  <si>
    <t>Few Adjustable Parameters Prediction Model Based on Lightweight Prefix-Tuning: Learning Session Dropout Prediction Model Based on Parameter-Efficient Prefix-Tuning</t>
  </si>
  <si>
    <t>10.7717/peerj-cs.2034</t>
  </si>
  <si>
    <t>Achieving optimal trade-off for student dropout prediction with multi-objective reinforcement learning</t>
  </si>
  <si>
    <t>10.1109/FIE63693.2025.11328252</t>
  </si>
  <si>
    <t>Automated Student Engagement Detection Using Hybrid Deep Learning and Machine Learning Techniques</t>
  </si>
  <si>
    <t>10.47738/jads.v7i2.1168</t>
  </si>
  <si>
    <t>Psychometric Validation of an AI-Based Evaluation System for Identifying Discrepancies in Learning Processes</t>
  </si>
  <si>
    <t>10.4018/IJeC.316658</t>
  </si>
  <si>
    <t>Cognitive Web Service-Based Learning Analytics in Education Systems Using Big Data Analytics</t>
  </si>
  <si>
    <t>10.1109/CogMI56440.2022.00029</t>
  </si>
  <si>
    <t>An approach to dealing with incremental concept drift in personalized learning systems</t>
  </si>
  <si>
    <t>10.3844/jcssp.2026.1721.1742</t>
  </si>
  <si>
    <t>Evaluation of Machine Learning Models to Predict Student Academic Performance Using Structured Educational Data</t>
  </si>
  <si>
    <t>10.3390/app11146453</t>
  </si>
  <si>
    <t>Quantifying the impact of student enrollment patterns on academic success using a hidden markov model</t>
  </si>
  <si>
    <t>10.1016/j.caeai.2026.100582</t>
  </si>
  <si>
    <t>GNN-driven modeling and prediction of multi-dimensional correlation of international medical education quality based on competence</t>
  </si>
  <si>
    <t>10.3724/2096-7004.di.2025.0071</t>
  </si>
  <si>
    <t>Enhancing Student Graduation Prediction with Integrated Deep Learning under Data Constraints</t>
  </si>
  <si>
    <t>10.1109/ICDSAAI65575.2025.11011532</t>
  </si>
  <si>
    <t>Academic Temporal Pattern Mining for Enhanced Student Performance Prediction: A Hybrid Machine Learning Approach</t>
  </si>
  <si>
    <t>10.1016/j.caeai.2025.100469</t>
  </si>
  <si>
    <t>A machine learning framework for soft skills assessment: Leveraging serious games in higher education</t>
  </si>
  <si>
    <t>10.1016/j.eswa.2025.128724</t>
  </si>
  <si>
    <t>Leveraging graph neural network for learner performance prediction</t>
  </si>
  <si>
    <t>10.3390/data9040060</t>
  </si>
  <si>
    <t>Predicting Academic Success of College Students Using Machine Learning Techniques</t>
  </si>
  <si>
    <t>10.1145/3700297.3700314</t>
  </si>
  <si>
    <t>Research on online learning behavior classification method based on LSTM and CNN</t>
  </si>
  <si>
    <t>10.1145/3699682.3728348</t>
  </si>
  <si>
    <t>Integrating Expert Knowledge with Automated Knowledge Component Extraction for Student Modeling</t>
  </si>
  <si>
    <t>10.1109/AIMLA63829.2025.11040379</t>
  </si>
  <si>
    <t>Revolutionizing Departmental Management through Intelligent Technology:A Machine Learning Approach to Optimization</t>
  </si>
  <si>
    <t>10.1145/3775073.3775153</t>
  </si>
  <si>
    <t>GPAformer: A Transformer-Based Framework for Predictive Academic Performance Modeling and Real-Time Intervention in Undergraduate education</t>
  </si>
  <si>
    <t>10.1109/GSEACT68539.2026.11620534</t>
  </si>
  <si>
    <t>AI-Based Student Performance Prediction using Machine Learning Techniques</t>
  </si>
  <si>
    <t>10.1109/ICMCTC62214.2025.11196115</t>
  </si>
  <si>
    <t>Optimizing Student Engagement Prediction with Machine Learning and Big Data Analytics</t>
  </si>
  <si>
    <t>10.1109/IIPEM65914.2025.11548244</t>
  </si>
  <si>
    <t>Hybrid Machine Learning Approach for Classification and Recommendation of EDM</t>
  </si>
  <si>
    <t>10.1108/IDD-08-2024-0120</t>
  </si>
  <si>
    <t>Leveraging machine learning and clickstream data to improve student performance prediction in virtual learning environments</t>
  </si>
  <si>
    <t>10.1007/s10791-026-10036-w</t>
  </si>
  <si>
    <t>Teaching innovation mechanism of higher education driven by AI fusion data</t>
  </si>
  <si>
    <t>10.5753/rbie.2022.2518</t>
  </si>
  <si>
    <t>Educational data mining to support identification and prevention of academic retention and dropout: a case study in introductory programming</t>
  </si>
  <si>
    <t>10.5753/wapla.2023.236179</t>
  </si>
  <si>
    <t>Predição de Evasão por meio de um Instrumento Sistemático de Avaliação Institucional</t>
  </si>
  <si>
    <t>10.5753/rbie.2024.3542</t>
  </si>
  <si>
    <t>10.5753/wei.2022.223357</t>
  </si>
  <si>
    <t>Análise de Sobrevivência: um estudo de caso em um Curso de Sistemas de Informação</t>
  </si>
  <si>
    <t>10.5753/wapla.2025.15898</t>
  </si>
  <si>
    <t>Análise Comparativa entre Métodos Tradicionais de Aprendizado de Máquina e Aprendizado Ativo na Predição da Evasão Escolar</t>
  </si>
  <si>
    <t>10.5753/wei.2024.3105</t>
  </si>
  <si>
    <t>Análise dos principais fatores que influenciam a evasão no ensino superior utilizando técnicas de mineração de dados educacionais</t>
  </si>
  <si>
    <t>10.5753/erbd.2026.20265</t>
  </si>
  <si>
    <t>Predição de evasão no curso de Sistemas de Informação da UFSM utilizando dados históricos</t>
  </si>
  <si>
    <t>10.1109/ICSCSS69635.2026.11645870</t>
  </si>
  <si>
    <t>An Explainable Federated GNN Approach for Cross-Institution Student Dropout Prediction in MOOCs</t>
  </si>
  <si>
    <t>10.1109/IEHNS68708.2026.11606961</t>
  </si>
  <si>
    <t>Multidimensional Data Analysis and Effect Evaluation Model Construction of Practical Education Projects in Colleges and Universities</t>
  </si>
  <si>
    <t>10.59543/jidmis.v3.1379</t>
  </si>
  <si>
    <t>Modeling Student–Project–Skill Interactions Using Graph Neural Networks for Enhanced Learning Analytics</t>
  </si>
  <si>
    <t>10.1109/EESPE68405.2026.11648551</t>
  </si>
  <si>
    <t>Dynamic Assessment and Early Warning of Learning Risks Based on Multidimensional Temporal Behavior Modeling</t>
  </si>
  <si>
    <t>Avg. QQ1</t>
  </si>
  <si>
    <t>Avg. QQ2</t>
  </si>
  <si>
    <t>Avg. QQ3</t>
  </si>
  <si>
    <t>Avg. QQ4</t>
  </si>
  <si>
    <t>Avg. QQ5</t>
  </si>
  <si>
    <t>Avg. QQ6</t>
  </si>
  <si>
    <t>A Well Structured Strategy Development via AI Integrated Analytics Systems to Improve Performance of Education</t>
  </si>
  <si>
    <t>Assessment of Higher-order Thinking Skills in Conversation Situation</t>
  </si>
  <si>
    <t>Construção dinâmica de modelos de learning analytics explicáveis e justos aplicados ao acompanhamento de estudantes de graduação</t>
  </si>
  <si>
    <t>Digital Transformation of University Political Education Courses Using Artificial Intelligence and Machine Learning</t>
  </si>
  <si>
    <t>Digital Twin Monitoring of Classes and Students</t>
  </si>
  <si>
    <t>Efficient hyperparameter tuning for predicting student performance with Bayesian optimization</t>
  </si>
  <si>
    <t>Intelligent Student Activity and Performance Monitoring System for Online Education</t>
  </si>
  <si>
    <t>MOOC Learner Performance Prediction with CNN-LSTM Mechanism</t>
  </si>
  <si>
    <t>Machine Learning Algorithms in Educational Data Mining: Enhancing Student Outcomes</t>
  </si>
  <si>
    <t>Predicting Student Dropout Rates in Online Education Platforms utilizing Naive Bayes Algorithm</t>
  </si>
  <si>
    <t>Research on the Construction of a Smart Learning Model for Cross-Border E-Commerce Major in Hunan Vocational Colleges under the Orientation of Professional Competency</t>
  </si>
  <si>
    <t>Research on the English Teaching Evaluation Algorithm Based on Data Mining Technology</t>
  </si>
  <si>
    <t>Unveiling Student Success: A Multifaceted Approach with Learning Coefficients and Beyond</t>
  </si>
  <si>
    <t>XGNN-AP: Explainable Graph Neural Network for Academic Performance</t>
  </si>
  <si>
    <t>10.1109/ICACITE60783.2024.10617260</t>
  </si>
  <si>
    <t>10.1016/j.procs.2024.08.210</t>
  </si>
  <si>
    <t>10.5753/sbie.2024.242655</t>
  </si>
  <si>
    <t>10.1109/LAAI69202.2025.00067</t>
  </si>
  <si>
    <t>10.23919/IST-Africa63983.2024.10569389</t>
  </si>
  <si>
    <t>10.1007/s11042-023-17525-w</t>
  </si>
  <si>
    <t>10.1109/iSSSC66652.2025.11388775</t>
  </si>
  <si>
    <t>10.1109/SILCON63976.2024.10910596</t>
  </si>
  <si>
    <t>10.1109/ICSCAI68849.2026.11649079</t>
  </si>
  <si>
    <t>10.1109/IC4e65071.2025.11075311</t>
  </si>
  <si>
    <t>10.1145/3802133.3802201</t>
  </si>
  <si>
    <t>10.1145/3797552.3797796</t>
  </si>
  <si>
    <t>10.1109/ICIICS63763.2024.10859995</t>
  </si>
  <si>
    <t>10.70917/ijcisim-2026-2384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</si>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</sst>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Average</a:t>
            </a:r>
            <a:r>
              <a:rPr lang="pt-BR" baseline="0"/>
              <a:t> Score per Quality Question (QQ)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8932291666666669E-2"/>
                  <c:y val="3.78110236220472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95-4632-8037-8C261F94E0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'Quality Assessment Checklist'!$M$70:$R$70</c:f>
              <c:strCache>
                <c:ptCount val="6"/>
                <c:pt idx="0">
                  <c:v>Avg. QQ1</c:v>
                </c:pt>
                <c:pt idx="1">
                  <c:v>Avg. QQ2</c:v>
                </c:pt>
                <c:pt idx="2">
                  <c:v>Avg. QQ3</c:v>
                </c:pt>
                <c:pt idx="3">
                  <c:v>Avg. QQ4</c:v>
                </c:pt>
                <c:pt idx="4">
                  <c:v>Avg. QQ5</c:v>
                </c:pt>
                <c:pt idx="5">
                  <c:v>Avg. QQ6</c:v>
                </c:pt>
              </c:strCache>
            </c:strRef>
          </c:cat>
          <c:val>
            <c:numRef>
              <c:f>'Quality Assessment Checklist'!$M$71:$R$71</c:f>
              <c:numCache>
                <c:formatCode>0.000</c:formatCode>
                <c:ptCount val="6"/>
                <c:pt idx="0">
                  <c:v>0.96268656716417911</c:v>
                </c:pt>
                <c:pt idx="1">
                  <c:v>0.80597014925373134</c:v>
                </c:pt>
                <c:pt idx="2">
                  <c:v>0.34328358208955223</c:v>
                </c:pt>
                <c:pt idx="3">
                  <c:v>0.55970149253731338</c:v>
                </c:pt>
                <c:pt idx="4">
                  <c:v>0.81343283582089554</c:v>
                </c:pt>
                <c:pt idx="5">
                  <c:v>0.80970149253731338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5-4632-8037-8C261F94E0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4160031"/>
        <c:axId val="2083114575"/>
      </c:lineChart>
      <c:catAx>
        <c:axId val="201416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114575"/>
        <c:crosses val="autoZero"/>
        <c:auto val="1"/>
        <c:lblAlgn val="ctr"/>
        <c:lblOffset val="100"/>
        <c:noMultiLvlLbl val="0"/>
      </c:catAx>
      <c:valAx>
        <c:axId val="208311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41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Distribution</a:t>
            </a:r>
            <a:r>
              <a:rPr lang="pt-BR" baseline="0"/>
              <a:t> of Articles and Scores per </a:t>
            </a:r>
          </a:p>
          <a:p>
            <a:pPr>
              <a:defRPr/>
            </a:pPr>
            <a:r>
              <a:rPr lang="pt-BR" baseline="0"/>
              <a:t>Quality Question (QQ)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'Quality Assessment Checklist'!$L$74</c:f>
              <c:strCache>
                <c:ptCount val="1"/>
                <c:pt idx="0">
                  <c:v>1,00</c:v>
                </c:pt>
              </c:strCache>
            </c:strRef>
          </c:tx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'Quality Assessment Checklist'!$M$73:$R$73</c:f>
              <c:strCache>
                <c:ptCount val="6"/>
                <c:pt idx="0">
                  <c:v>QQ1</c:v>
                </c:pt>
                <c:pt idx="1">
                  <c:v>QQ2</c:v>
                </c:pt>
                <c:pt idx="2">
                  <c:v>QQ3</c:v>
                </c:pt>
                <c:pt idx="3">
                  <c:v>QQ4</c:v>
                </c:pt>
                <c:pt idx="4">
                  <c:v>QQ5</c:v>
                </c:pt>
                <c:pt idx="5">
                  <c:v>QQ6</c:v>
                </c:pt>
              </c:strCache>
            </c:strRef>
          </c:cat>
          <c:val>
            <c:numRef>
              <c:f>'Quality Assessment Checklist'!$M$74:$R$74</c:f>
              <c:numCache>
                <c:formatCode>General</c:formatCode>
                <c:ptCount val="6"/>
                <c:pt idx="0">
                  <c:v>59</c:v>
                </c:pt>
                <c:pt idx="1">
                  <c:v>42</c:v>
                </c:pt>
                <c:pt idx="2">
                  <c:v>8</c:v>
                </c:pt>
                <c:pt idx="3">
                  <c:v>6</c:v>
                </c:pt>
                <c:pt idx="4">
                  <c:v>34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E-4975-904A-3E7ACEC0E16F}"/>
            </c:ext>
          </c:extLst>
        </c:ser>
        <c:ser>
          <c:idx val="1"/>
          <c:order val="1"/>
          <c:tx>
            <c:strRef>
              <c:f>'Quality Assessment Checklist'!$L$75</c:f>
              <c:strCache>
                <c:ptCount val="1"/>
                <c:pt idx="0">
                  <c:v>0,75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'Quality Assessment Checklist'!$M$73:$R$73</c:f>
              <c:strCache>
                <c:ptCount val="6"/>
                <c:pt idx="0">
                  <c:v>QQ1</c:v>
                </c:pt>
                <c:pt idx="1">
                  <c:v>QQ2</c:v>
                </c:pt>
                <c:pt idx="2">
                  <c:v>QQ3</c:v>
                </c:pt>
                <c:pt idx="3">
                  <c:v>QQ4</c:v>
                </c:pt>
                <c:pt idx="4">
                  <c:v>QQ5</c:v>
                </c:pt>
                <c:pt idx="5">
                  <c:v>QQ6</c:v>
                </c:pt>
              </c:strCache>
            </c:strRef>
          </c:cat>
          <c:val>
            <c:numRef>
              <c:f>'Quality Assessment Checklist'!$M$75:$R$75</c:f>
              <c:numCache>
                <c:formatCode>General</c:formatCode>
                <c:ptCount val="6"/>
                <c:pt idx="0">
                  <c:v>6</c:v>
                </c:pt>
                <c:pt idx="1">
                  <c:v>11</c:v>
                </c:pt>
                <c:pt idx="2">
                  <c:v>4</c:v>
                </c:pt>
                <c:pt idx="3">
                  <c:v>15</c:v>
                </c:pt>
                <c:pt idx="4">
                  <c:v>17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E-4975-904A-3E7ACEC0E16F}"/>
            </c:ext>
          </c:extLst>
        </c:ser>
        <c:ser>
          <c:idx val="2"/>
          <c:order val="2"/>
          <c:tx>
            <c:strRef>
              <c:f>'Quality Assessment Checklist'!$L$76</c:f>
              <c:strCache>
                <c:ptCount val="1"/>
                <c:pt idx="0">
                  <c:v>0,50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'Quality Assessment Checklist'!$M$73:$R$73</c:f>
              <c:strCache>
                <c:ptCount val="6"/>
                <c:pt idx="0">
                  <c:v>QQ1</c:v>
                </c:pt>
                <c:pt idx="1">
                  <c:v>QQ2</c:v>
                </c:pt>
                <c:pt idx="2">
                  <c:v>QQ3</c:v>
                </c:pt>
                <c:pt idx="3">
                  <c:v>QQ4</c:v>
                </c:pt>
                <c:pt idx="4">
                  <c:v>QQ5</c:v>
                </c:pt>
                <c:pt idx="5">
                  <c:v>QQ6</c:v>
                </c:pt>
              </c:strCache>
            </c:strRef>
          </c:cat>
          <c:val>
            <c:numRef>
              <c:f>'Quality Assessment Checklist'!$M$76:$R$76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20</c:v>
                </c:pt>
                <c:pt idx="3">
                  <c:v>37</c:v>
                </c:pt>
                <c:pt idx="4">
                  <c:v>15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DE-4975-904A-3E7ACEC0E16F}"/>
            </c:ext>
          </c:extLst>
        </c:ser>
        <c:ser>
          <c:idx val="3"/>
          <c:order val="3"/>
          <c:tx>
            <c:strRef>
              <c:f>'Quality Assessment Checklist'!$L$77</c:f>
              <c:strCache>
                <c:ptCount val="1"/>
                <c:pt idx="0">
                  <c:v>0,25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'Quality Assessment Checklist'!$M$73:$R$73</c:f>
              <c:strCache>
                <c:ptCount val="6"/>
                <c:pt idx="0">
                  <c:v>QQ1</c:v>
                </c:pt>
                <c:pt idx="1">
                  <c:v>QQ2</c:v>
                </c:pt>
                <c:pt idx="2">
                  <c:v>QQ3</c:v>
                </c:pt>
                <c:pt idx="3">
                  <c:v>QQ4</c:v>
                </c:pt>
                <c:pt idx="4">
                  <c:v>QQ5</c:v>
                </c:pt>
                <c:pt idx="5">
                  <c:v>QQ6</c:v>
                </c:pt>
              </c:strCache>
            </c:strRef>
          </c:cat>
          <c:val>
            <c:numRef>
              <c:f>'Quality Assessment Checklist'!$M$77:$R$77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7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DE-4975-904A-3E7ACEC0E16F}"/>
            </c:ext>
          </c:extLst>
        </c:ser>
        <c:ser>
          <c:idx val="4"/>
          <c:order val="4"/>
          <c:tx>
            <c:strRef>
              <c:f>'Quality Assessment Checklist'!$L$78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chemeClr val="accent6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'Quality Assessment Checklist'!$M$73:$R$73</c:f>
              <c:strCache>
                <c:ptCount val="6"/>
                <c:pt idx="0">
                  <c:v>QQ1</c:v>
                </c:pt>
                <c:pt idx="1">
                  <c:v>QQ2</c:v>
                </c:pt>
                <c:pt idx="2">
                  <c:v>QQ3</c:v>
                </c:pt>
                <c:pt idx="3">
                  <c:v>QQ4</c:v>
                </c:pt>
                <c:pt idx="4">
                  <c:v>QQ5</c:v>
                </c:pt>
                <c:pt idx="5">
                  <c:v>QQ6</c:v>
                </c:pt>
              </c:strCache>
            </c:strRef>
          </c:cat>
          <c:val>
            <c:numRef>
              <c:f>'Quality Assessment Checklist'!$M$78:$R$78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27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DE-4975-904A-3E7ACEC0E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1681023"/>
        <c:axId val="2083097295"/>
      </c:barChart>
      <c:catAx>
        <c:axId val="209168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3097295"/>
        <c:crosses val="autoZero"/>
        <c:auto val="1"/>
        <c:lblAlgn val="ctr"/>
        <c:lblOffset val="100"/>
        <c:noMultiLvlLbl val="0"/>
      </c:catAx>
      <c:valAx>
        <c:axId val="208309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168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69</xdr:row>
      <xdr:rowOff>0</xdr:rowOff>
    </xdr:from>
    <xdr:to>
      <xdr:col>9</xdr:col>
      <xdr:colOff>0</xdr:colOff>
      <xdr:row>84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88BAF8-488B-91A7-6BF8-1005B9D78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85</xdr:row>
      <xdr:rowOff>0</xdr:rowOff>
    </xdr:from>
    <xdr:to>
      <xdr:col>9</xdr:col>
      <xdr:colOff>0</xdr:colOff>
      <xdr:row>100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F59C41-64E4-125C-15E6-85F000DC7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D341-FAAF-4C05-BBFE-F5EE9C3D7AED}">
  <dimension ref="A1:S78"/>
  <sheetViews>
    <sheetView tabSelected="1" zoomScaleNormal="100" workbookViewId="0"/>
  </sheetViews>
  <sheetFormatPr defaultRowHeight="15" x14ac:dyDescent="0.25"/>
  <cols>
    <col min="3" max="8" width="9.140625" style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147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147</v>
      </c>
    </row>
    <row r="2" spans="1:19" x14ac:dyDescent="0.25">
      <c r="A2" t="s">
        <v>9</v>
      </c>
      <c r="B2" t="s">
        <v>8</v>
      </c>
      <c r="C2" s="1">
        <v>1</v>
      </c>
      <c r="D2" s="1">
        <v>0.75</v>
      </c>
      <c r="E2" s="1">
        <v>0.25</v>
      </c>
      <c r="F2" s="1">
        <v>0</v>
      </c>
      <c r="G2" s="1">
        <v>0.75</v>
      </c>
      <c r="H2" s="1">
        <v>1</v>
      </c>
      <c r="I2" s="3">
        <f>SUM(C2:H2)/COUNTA(C2:H2)</f>
        <v>0.625</v>
      </c>
      <c r="K2" t="str" cm="1">
        <f t="array" ref="K2:S68">_xlfn._xlws.SORT(A2:I68,9,-1)</f>
        <v>10.5281/zenodo.14503515</v>
      </c>
      <c r="L2" t="str">
        <v>Investigating Demographic Features and their Connection to Performance, Predictions, and Fairness in EDM Models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3">
        <v>1</v>
      </c>
    </row>
    <row r="3" spans="1:19" x14ac:dyDescent="0.25">
      <c r="A3" t="s">
        <v>11</v>
      </c>
      <c r="B3" t="s">
        <v>10</v>
      </c>
      <c r="C3" s="1">
        <v>1</v>
      </c>
      <c r="D3" s="1">
        <v>0.75</v>
      </c>
      <c r="E3" s="1">
        <v>0.25</v>
      </c>
      <c r="F3" s="1">
        <v>0.75</v>
      </c>
      <c r="G3" s="1">
        <v>0.75</v>
      </c>
      <c r="H3" s="1">
        <v>1</v>
      </c>
      <c r="I3" s="3">
        <f t="shared" ref="I3:I66" si="0">SUM(C3:H3)/COUNTA(C3:H3)</f>
        <v>0.75</v>
      </c>
      <c r="K3" t="str">
        <v>10.5281/zenodo.8115647</v>
      </c>
      <c r="L3" t="str">
        <v>Investigating the Importance of Demographic Features for EDM-Predictions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3">
        <v>1</v>
      </c>
    </row>
    <row r="4" spans="1:19" x14ac:dyDescent="0.25">
      <c r="A4" t="s">
        <v>12</v>
      </c>
      <c r="B4" t="s">
        <v>13</v>
      </c>
      <c r="C4" s="1">
        <v>0.75</v>
      </c>
      <c r="D4" s="1">
        <v>0.75</v>
      </c>
      <c r="E4" s="1">
        <v>0.25</v>
      </c>
      <c r="F4" s="1">
        <v>0.75</v>
      </c>
      <c r="G4" s="1">
        <v>0.75</v>
      </c>
      <c r="H4" s="1">
        <v>1</v>
      </c>
      <c r="I4" s="3">
        <f t="shared" si="0"/>
        <v>0.70833333333333337</v>
      </c>
      <c r="K4" t="str">
        <v>10.3390/electronics15132801</v>
      </c>
      <c r="L4" t="str">
        <v>Design and Implementation of an Intelligent Diagnostic System for Academic Performance Analysis in Medical Education</v>
      </c>
      <c r="M4" s="1">
        <v>1</v>
      </c>
      <c r="N4" s="1">
        <v>1</v>
      </c>
      <c r="O4" s="1">
        <v>1</v>
      </c>
      <c r="P4" s="1">
        <v>0.5</v>
      </c>
      <c r="Q4" s="1">
        <v>1</v>
      </c>
      <c r="R4" s="1">
        <v>1</v>
      </c>
      <c r="S4" s="3">
        <v>0.91666666666666663</v>
      </c>
    </row>
    <row r="5" spans="1:19" x14ac:dyDescent="0.25">
      <c r="A5" t="s">
        <v>14</v>
      </c>
      <c r="B5" t="s">
        <v>15</v>
      </c>
      <c r="C5" s="1">
        <v>1</v>
      </c>
      <c r="D5" s="1">
        <v>0.75</v>
      </c>
      <c r="E5" s="1">
        <v>0</v>
      </c>
      <c r="F5" s="1">
        <v>0.5</v>
      </c>
      <c r="G5" s="1">
        <v>0.5</v>
      </c>
      <c r="H5" s="1">
        <v>1</v>
      </c>
      <c r="I5" s="3">
        <f t="shared" si="0"/>
        <v>0.625</v>
      </c>
      <c r="K5" t="str">
        <v>10.1109/ACCESS.2025.3550817</v>
      </c>
      <c r="L5" t="str">
        <v>Predicting Student Dropout Through Text and Media Content Analysis of VKontakte Profiles</v>
      </c>
      <c r="M5" s="1">
        <v>1</v>
      </c>
      <c r="N5" s="1">
        <v>1</v>
      </c>
      <c r="O5" s="1">
        <v>1</v>
      </c>
      <c r="P5" s="1">
        <v>0.5</v>
      </c>
      <c r="Q5" s="1">
        <v>1</v>
      </c>
      <c r="R5" s="1">
        <v>1</v>
      </c>
      <c r="S5" s="3">
        <v>0.91666666666666663</v>
      </c>
    </row>
    <row r="6" spans="1:19" x14ac:dyDescent="0.25">
      <c r="A6" t="s">
        <v>16</v>
      </c>
      <c r="B6" t="s">
        <v>17</v>
      </c>
      <c r="C6" s="1">
        <v>1</v>
      </c>
      <c r="D6" s="1">
        <v>1</v>
      </c>
      <c r="E6" s="1">
        <v>0.75</v>
      </c>
      <c r="F6" s="1">
        <v>0.25</v>
      </c>
      <c r="G6" s="1">
        <v>1</v>
      </c>
      <c r="H6" s="1">
        <v>1</v>
      </c>
      <c r="I6" s="3">
        <f t="shared" si="0"/>
        <v>0.83333333333333337</v>
      </c>
      <c r="K6" t="str">
        <v>10.7717/peerj-cs.2034</v>
      </c>
      <c r="L6" t="str">
        <v>Achieving optimal trade-off for student dropout prediction with multi-objective reinforcement learning</v>
      </c>
      <c r="M6" s="1">
        <v>1</v>
      </c>
      <c r="N6" s="1">
        <v>1</v>
      </c>
      <c r="O6" s="1">
        <v>0.5</v>
      </c>
      <c r="P6" s="1">
        <v>1</v>
      </c>
      <c r="Q6" s="1">
        <v>1</v>
      </c>
      <c r="R6" s="1">
        <v>1</v>
      </c>
      <c r="S6" s="3">
        <v>0.91666666666666663</v>
      </c>
    </row>
    <row r="7" spans="1:19" x14ac:dyDescent="0.25">
      <c r="A7" t="s">
        <v>18</v>
      </c>
      <c r="B7" t="s">
        <v>19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3">
        <f t="shared" si="0"/>
        <v>1</v>
      </c>
      <c r="K7" t="str">
        <v>10.47738/jads.v7i2.1168</v>
      </c>
      <c r="L7" t="str">
        <v>Psychometric Validation of an AI-Based Evaluation System for Identifying Discrepancies in Learning Processes</v>
      </c>
      <c r="M7" s="1">
        <v>1</v>
      </c>
      <c r="N7" s="1">
        <v>1</v>
      </c>
      <c r="O7" s="1">
        <v>1</v>
      </c>
      <c r="P7" s="1">
        <v>0.75</v>
      </c>
      <c r="Q7" s="1">
        <v>1</v>
      </c>
      <c r="R7" s="1">
        <v>0.75</v>
      </c>
      <c r="S7" s="3">
        <v>0.91666666666666663</v>
      </c>
    </row>
    <row r="8" spans="1:19" x14ac:dyDescent="0.25">
      <c r="A8" t="s">
        <v>20</v>
      </c>
      <c r="B8" t="s">
        <v>21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3">
        <f t="shared" si="0"/>
        <v>1</v>
      </c>
      <c r="K8" t="str">
        <v>10.1007/s10791-026-10036-w</v>
      </c>
      <c r="L8" t="str">
        <v>Teaching innovation mechanism of higher education driven by AI fusion data</v>
      </c>
      <c r="M8" s="1">
        <v>1</v>
      </c>
      <c r="N8" s="1">
        <v>1</v>
      </c>
      <c r="O8" s="1">
        <v>1</v>
      </c>
      <c r="P8" s="1">
        <v>0.5</v>
      </c>
      <c r="Q8" s="1">
        <v>1</v>
      </c>
      <c r="R8" s="1">
        <v>1</v>
      </c>
      <c r="S8" s="3">
        <v>0.91666666666666663</v>
      </c>
    </row>
    <row r="9" spans="1:19" x14ac:dyDescent="0.25">
      <c r="A9" t="s">
        <v>22</v>
      </c>
      <c r="B9" t="s">
        <v>23</v>
      </c>
      <c r="C9" s="1">
        <v>0.75</v>
      </c>
      <c r="D9" s="1">
        <v>1</v>
      </c>
      <c r="E9" s="1">
        <v>0</v>
      </c>
      <c r="F9" s="1">
        <v>0.5</v>
      </c>
      <c r="G9" s="1">
        <v>0.75</v>
      </c>
      <c r="H9" s="1">
        <v>1</v>
      </c>
      <c r="I9" s="3">
        <f t="shared" si="0"/>
        <v>0.66666666666666663</v>
      </c>
      <c r="K9" t="str">
        <v>10.5753/wei.2024.3105</v>
      </c>
      <c r="L9" t="str">
        <v>Análise dos principais fatores que influenciam a evasão no ensino superior utilizando técnicas de mineração de dados educacionais</v>
      </c>
      <c r="M9" s="1">
        <v>1</v>
      </c>
      <c r="N9" s="1">
        <v>1</v>
      </c>
      <c r="O9" s="1">
        <v>0.75</v>
      </c>
      <c r="P9" s="1">
        <v>0.75</v>
      </c>
      <c r="Q9" s="1">
        <v>1</v>
      </c>
      <c r="R9" s="1">
        <v>1</v>
      </c>
      <c r="S9" s="3">
        <v>0.91666666666666663</v>
      </c>
    </row>
    <row r="10" spans="1:19" x14ac:dyDescent="0.25">
      <c r="A10" t="s">
        <v>24</v>
      </c>
      <c r="B10" t="s">
        <v>25</v>
      </c>
      <c r="C10" s="1">
        <v>1</v>
      </c>
      <c r="D10" s="1">
        <v>0.75</v>
      </c>
      <c r="E10" s="1">
        <v>0</v>
      </c>
      <c r="F10" s="1">
        <v>0.25</v>
      </c>
      <c r="G10" s="1">
        <v>0.75</v>
      </c>
      <c r="H10" s="1">
        <v>1</v>
      </c>
      <c r="I10" s="3">
        <f t="shared" si="0"/>
        <v>0.625</v>
      </c>
      <c r="K10" t="str">
        <v>10.1109/ICDSAAI65575.2025.11011532</v>
      </c>
      <c r="L10" t="str">
        <v>Academic Temporal Pattern Mining for Enhanced Student Performance Prediction: A Hybrid Machine Learning Approach</v>
      </c>
      <c r="M10" s="1">
        <v>1</v>
      </c>
      <c r="N10" s="1">
        <v>1</v>
      </c>
      <c r="O10" s="1">
        <v>0.5</v>
      </c>
      <c r="P10" s="1">
        <v>0.75</v>
      </c>
      <c r="Q10" s="1">
        <v>1</v>
      </c>
      <c r="R10" s="1">
        <v>1</v>
      </c>
      <c r="S10" s="3">
        <v>0.875</v>
      </c>
    </row>
    <row r="11" spans="1:19" x14ac:dyDescent="0.25">
      <c r="A11" t="s">
        <v>26</v>
      </c>
      <c r="B11" t="s">
        <v>27</v>
      </c>
      <c r="C11" s="1">
        <v>1</v>
      </c>
      <c r="D11" s="1">
        <v>1</v>
      </c>
      <c r="E11" s="1">
        <v>0</v>
      </c>
      <c r="F11" s="1">
        <v>0.5</v>
      </c>
      <c r="G11" s="1">
        <v>0.75</v>
      </c>
      <c r="H11" s="1">
        <v>0.75</v>
      </c>
      <c r="I11" s="3">
        <f t="shared" si="0"/>
        <v>0.66666666666666663</v>
      </c>
      <c r="K11" t="str">
        <v>10.3390/data9040060</v>
      </c>
      <c r="L11" t="str">
        <v>Predicting Academic Success of College Students Using Machine Learning Techniques</v>
      </c>
      <c r="M11" s="1">
        <v>1</v>
      </c>
      <c r="N11" s="1">
        <v>1</v>
      </c>
      <c r="O11" s="1">
        <v>0.75</v>
      </c>
      <c r="P11" s="1">
        <v>0.5</v>
      </c>
      <c r="Q11" s="1">
        <v>1</v>
      </c>
      <c r="R11" s="1">
        <v>1</v>
      </c>
      <c r="S11" s="3">
        <v>0.875</v>
      </c>
    </row>
    <row r="12" spans="1:19" x14ac:dyDescent="0.25">
      <c r="A12" t="s">
        <v>28</v>
      </c>
      <c r="B12" t="s">
        <v>29</v>
      </c>
      <c r="C12" s="1">
        <v>1</v>
      </c>
      <c r="D12" s="1">
        <v>1</v>
      </c>
      <c r="E12" s="1">
        <v>1</v>
      </c>
      <c r="F12" s="1">
        <v>0.5</v>
      </c>
      <c r="G12" s="1">
        <v>1</v>
      </c>
      <c r="H12" s="1">
        <v>1</v>
      </c>
      <c r="I12" s="3">
        <f t="shared" si="0"/>
        <v>0.91666666666666663</v>
      </c>
      <c r="K12" t="str">
        <v>10.1007/s44163-025-00651-9</v>
      </c>
      <c r="L12" t="str">
        <v>Research on the refinement of college student education management based on artificial intelligence</v>
      </c>
      <c r="M12" s="1">
        <v>1</v>
      </c>
      <c r="N12" s="1">
        <v>1</v>
      </c>
      <c r="O12" s="1">
        <v>0.75</v>
      </c>
      <c r="P12" s="1">
        <v>0.25</v>
      </c>
      <c r="Q12" s="1">
        <v>1</v>
      </c>
      <c r="R12" s="1">
        <v>1</v>
      </c>
      <c r="S12" s="3">
        <v>0.83333333333333337</v>
      </c>
    </row>
    <row r="13" spans="1:19" x14ac:dyDescent="0.25">
      <c r="A13" t="s">
        <v>30</v>
      </c>
      <c r="B13" t="s">
        <v>31</v>
      </c>
      <c r="C13" s="1">
        <v>1</v>
      </c>
      <c r="D13" s="1">
        <v>1</v>
      </c>
      <c r="E13" s="1">
        <v>0</v>
      </c>
      <c r="F13" s="1">
        <v>0.5</v>
      </c>
      <c r="G13" s="1">
        <v>1</v>
      </c>
      <c r="H13" s="1">
        <v>1</v>
      </c>
      <c r="I13" s="3">
        <f t="shared" si="0"/>
        <v>0.75</v>
      </c>
      <c r="K13" t="str">
        <v>10.1109/TBDATA.2021.3125204</v>
      </c>
      <c r="L13" t="str">
        <v>Predicting and Understanding Student Learning Performance Using Multi-Source Sparse Attention Convolutional Neural Networks</v>
      </c>
      <c r="M13" s="1">
        <v>1</v>
      </c>
      <c r="N13" s="1">
        <v>1</v>
      </c>
      <c r="O13" s="1">
        <v>0.25</v>
      </c>
      <c r="P13" s="1">
        <v>0.75</v>
      </c>
      <c r="Q13" s="1">
        <v>1</v>
      </c>
      <c r="R13" s="1">
        <v>1</v>
      </c>
      <c r="S13" s="3">
        <v>0.83333333333333337</v>
      </c>
    </row>
    <row r="14" spans="1:19" x14ac:dyDescent="0.25">
      <c r="A14" t="s">
        <v>33</v>
      </c>
      <c r="B14" t="s">
        <v>32</v>
      </c>
      <c r="C14" s="1">
        <v>1</v>
      </c>
      <c r="D14" s="1">
        <v>1</v>
      </c>
      <c r="E14" s="1">
        <v>0</v>
      </c>
      <c r="F14" s="1">
        <v>0.25</v>
      </c>
      <c r="G14" s="1">
        <v>1</v>
      </c>
      <c r="H14" s="1">
        <v>1</v>
      </c>
      <c r="I14" s="3">
        <f t="shared" si="0"/>
        <v>0.70833333333333337</v>
      </c>
      <c r="K14" t="str">
        <v>10.1016/j.caeai.2026.100582</v>
      </c>
      <c r="L14" t="str">
        <v>GNN-driven modeling and prediction of multi-dimensional correlation of international medical education quality based on competence</v>
      </c>
      <c r="M14" s="1">
        <v>1</v>
      </c>
      <c r="N14" s="1">
        <v>1</v>
      </c>
      <c r="O14" s="1">
        <v>0</v>
      </c>
      <c r="P14" s="1">
        <v>1</v>
      </c>
      <c r="Q14" s="1">
        <v>1</v>
      </c>
      <c r="R14" s="1">
        <v>1</v>
      </c>
      <c r="S14" s="3">
        <v>0.83333333333333337</v>
      </c>
    </row>
    <row r="15" spans="1:19" x14ac:dyDescent="0.25">
      <c r="A15" t="s">
        <v>35</v>
      </c>
      <c r="B15" t="s">
        <v>34</v>
      </c>
      <c r="C15" s="1">
        <v>1</v>
      </c>
      <c r="D15" s="1">
        <v>1</v>
      </c>
      <c r="E15" s="1">
        <v>0</v>
      </c>
      <c r="F15" s="1">
        <v>0.75</v>
      </c>
      <c r="G15" s="1">
        <v>0.75</v>
      </c>
      <c r="H15" s="1">
        <v>0.25</v>
      </c>
      <c r="I15" s="3">
        <f t="shared" si="0"/>
        <v>0.625</v>
      </c>
      <c r="K15" t="str">
        <v>10.3724/2096-7004.di.2025.0071</v>
      </c>
      <c r="L15" t="str">
        <v>Enhancing Student Graduation Prediction with Integrated Deep Learning under Data Constraints</v>
      </c>
      <c r="M15" s="1">
        <v>1</v>
      </c>
      <c r="N15" s="1">
        <v>1</v>
      </c>
      <c r="O15" s="1">
        <v>0.25</v>
      </c>
      <c r="P15" s="1">
        <v>1</v>
      </c>
      <c r="Q15" s="1">
        <v>0.75</v>
      </c>
      <c r="R15" s="1">
        <v>1</v>
      </c>
      <c r="S15" s="3">
        <v>0.83333333333333337</v>
      </c>
    </row>
    <row r="16" spans="1:19" x14ac:dyDescent="0.25">
      <c r="A16" t="s">
        <v>37</v>
      </c>
      <c r="B16" t="s">
        <v>36</v>
      </c>
      <c r="C16" s="1">
        <v>1</v>
      </c>
      <c r="D16" s="1">
        <v>1</v>
      </c>
      <c r="E16" s="1">
        <v>0.25</v>
      </c>
      <c r="F16" s="1">
        <v>0.75</v>
      </c>
      <c r="G16" s="1">
        <v>1</v>
      </c>
      <c r="H16" s="1">
        <v>1</v>
      </c>
      <c r="I16" s="3">
        <f t="shared" si="0"/>
        <v>0.83333333333333337</v>
      </c>
      <c r="K16" t="str">
        <v>10.1016/j.caeai.2025.100469</v>
      </c>
      <c r="L16" t="str">
        <v>A machine learning framework for soft skills assessment: Leveraging serious games in higher education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3">
        <v>0.83333333333333337</v>
      </c>
    </row>
    <row r="17" spans="1:19" x14ac:dyDescent="0.25">
      <c r="A17" t="s">
        <v>39</v>
      </c>
      <c r="B17" t="s">
        <v>38</v>
      </c>
      <c r="C17" s="1">
        <v>1</v>
      </c>
      <c r="D17" s="1">
        <v>1</v>
      </c>
      <c r="E17" s="1">
        <v>0.25</v>
      </c>
      <c r="F17" s="1">
        <v>0.5</v>
      </c>
      <c r="G17" s="1">
        <v>1</v>
      </c>
      <c r="H17" s="1">
        <v>1</v>
      </c>
      <c r="I17" s="3">
        <f t="shared" si="0"/>
        <v>0.79166666666666663</v>
      </c>
      <c r="K17" t="str">
        <v>10.1016/j.eswa.2025.128724</v>
      </c>
      <c r="L17" t="str">
        <v>Leveraging graph neural network for learner performance prediction</v>
      </c>
      <c r="M17" s="1">
        <v>1</v>
      </c>
      <c r="N17" s="1">
        <v>0.75</v>
      </c>
      <c r="O17" s="1">
        <v>0.5</v>
      </c>
      <c r="P17" s="1">
        <v>1</v>
      </c>
      <c r="Q17" s="1">
        <v>0.75</v>
      </c>
      <c r="R17" s="1">
        <v>1</v>
      </c>
      <c r="S17" s="3">
        <v>0.83333333333333337</v>
      </c>
    </row>
    <row r="18" spans="1:19" x14ac:dyDescent="0.25">
      <c r="A18" t="s">
        <v>40</v>
      </c>
      <c r="B18" t="s">
        <v>41</v>
      </c>
      <c r="C18" s="1">
        <v>1</v>
      </c>
      <c r="D18" s="1">
        <v>1</v>
      </c>
      <c r="E18" s="1">
        <v>1</v>
      </c>
      <c r="F18" s="1">
        <v>0.5</v>
      </c>
      <c r="G18" s="1">
        <v>1</v>
      </c>
      <c r="H18" s="1">
        <v>1</v>
      </c>
      <c r="I18" s="3">
        <f t="shared" si="0"/>
        <v>0.91666666666666663</v>
      </c>
      <c r="K18" t="str">
        <v>10.1145/3699682.3728348</v>
      </c>
      <c r="L18" t="str">
        <v>Integrating Expert Knowledge with Automated Knowledge Component Extraction for Student Modeling</v>
      </c>
      <c r="M18" s="1">
        <v>1</v>
      </c>
      <c r="N18" s="1">
        <v>1</v>
      </c>
      <c r="O18" s="1">
        <v>0.5</v>
      </c>
      <c r="P18" s="1">
        <v>0.5</v>
      </c>
      <c r="Q18" s="1">
        <v>1</v>
      </c>
      <c r="R18" s="1">
        <v>1</v>
      </c>
      <c r="S18" s="3">
        <v>0.83333333333333337</v>
      </c>
    </row>
    <row r="19" spans="1:19" x14ac:dyDescent="0.25">
      <c r="A19" t="s">
        <v>43</v>
      </c>
      <c r="B19" t="s">
        <v>42</v>
      </c>
      <c r="C19" s="1">
        <v>1</v>
      </c>
      <c r="D19" s="1">
        <v>1</v>
      </c>
      <c r="E19" s="1">
        <v>0</v>
      </c>
      <c r="F19" s="1">
        <v>0.75</v>
      </c>
      <c r="G19" s="1">
        <v>0.75</v>
      </c>
      <c r="H19" s="1">
        <v>0.25</v>
      </c>
      <c r="I19" s="3">
        <f t="shared" si="0"/>
        <v>0.625</v>
      </c>
      <c r="K19" t="str">
        <v>10.5753/rbie.2022.2518</v>
      </c>
      <c r="L19" t="str">
        <v>Educational data mining to support identification and prevention of academic retention and dropout: a case study in introductory programming</v>
      </c>
      <c r="M19" s="1">
        <v>1</v>
      </c>
      <c r="N19" s="1">
        <v>1</v>
      </c>
      <c r="O19" s="1">
        <v>1</v>
      </c>
      <c r="P19" s="1">
        <v>0.25</v>
      </c>
      <c r="Q19" s="1">
        <v>0.75</v>
      </c>
      <c r="R19" s="1">
        <v>1</v>
      </c>
      <c r="S19" s="3">
        <v>0.83333333333333337</v>
      </c>
    </row>
    <row r="20" spans="1:19" x14ac:dyDescent="0.25">
      <c r="A20" t="s">
        <v>44</v>
      </c>
      <c r="B20" t="s">
        <v>45</v>
      </c>
      <c r="C20" s="1">
        <v>1</v>
      </c>
      <c r="D20" s="1">
        <v>1</v>
      </c>
      <c r="E20" s="1">
        <v>0</v>
      </c>
      <c r="F20" s="1">
        <v>0.75</v>
      </c>
      <c r="G20" s="1">
        <v>1</v>
      </c>
      <c r="H20" s="1">
        <v>0</v>
      </c>
      <c r="I20" s="3">
        <f t="shared" si="0"/>
        <v>0.625</v>
      </c>
      <c r="K20" t="str">
        <v>10.5753/wapla.2023.236179</v>
      </c>
      <c r="L20" t="str">
        <v>Predição de Evasão por meio de um Instrumento Sistemático de Avaliação Institucional</v>
      </c>
      <c r="M20" s="1">
        <v>1</v>
      </c>
      <c r="N20" s="1">
        <v>1</v>
      </c>
      <c r="O20" s="1">
        <v>0.5</v>
      </c>
      <c r="P20" s="1">
        <v>0.5</v>
      </c>
      <c r="Q20" s="1">
        <v>1</v>
      </c>
      <c r="R20" s="1">
        <v>1</v>
      </c>
      <c r="S20" s="3">
        <v>0.83333333333333337</v>
      </c>
    </row>
    <row r="21" spans="1:19" x14ac:dyDescent="0.25">
      <c r="A21" t="s">
        <v>46</v>
      </c>
      <c r="B21" t="s">
        <v>47</v>
      </c>
      <c r="C21" s="1">
        <v>1</v>
      </c>
      <c r="D21" s="1">
        <v>1</v>
      </c>
      <c r="E21" s="1">
        <v>0</v>
      </c>
      <c r="F21" s="1">
        <v>0.75</v>
      </c>
      <c r="G21" s="1">
        <v>1</v>
      </c>
      <c r="H21" s="1">
        <v>1</v>
      </c>
      <c r="I21" s="3">
        <f t="shared" si="0"/>
        <v>0.79166666666666663</v>
      </c>
      <c r="K21" t="str">
        <v>10.5753/rbie.2024.3542</v>
      </c>
      <c r="L21">
        <v>0</v>
      </c>
      <c r="M21" s="1">
        <v>1</v>
      </c>
      <c r="N21" s="1">
        <v>1</v>
      </c>
      <c r="O21" s="1">
        <v>0.5</v>
      </c>
      <c r="P21" s="1">
        <v>0.5</v>
      </c>
      <c r="Q21" s="1">
        <v>1</v>
      </c>
      <c r="R21" s="1">
        <v>1</v>
      </c>
      <c r="S21" s="3">
        <v>0.83333333333333337</v>
      </c>
    </row>
    <row r="22" spans="1:19" x14ac:dyDescent="0.25">
      <c r="A22" t="s">
        <v>48</v>
      </c>
      <c r="B22" t="s">
        <v>49</v>
      </c>
      <c r="C22" s="1">
        <v>1</v>
      </c>
      <c r="D22" s="1">
        <v>1</v>
      </c>
      <c r="E22" s="1">
        <v>0.5</v>
      </c>
      <c r="F22" s="1">
        <v>1</v>
      </c>
      <c r="G22" s="1">
        <v>1</v>
      </c>
      <c r="H22" s="1">
        <v>1</v>
      </c>
      <c r="I22" s="3">
        <f t="shared" si="0"/>
        <v>0.91666666666666663</v>
      </c>
      <c r="K22" t="str">
        <v>10.5753/wapla.2025.15898</v>
      </c>
      <c r="L22" t="str">
        <v>Análise Comparativa entre Métodos Tradicionais de Aprendizado de Máquina e Aprendizado Ativo na Predição da Evasão Escolar</v>
      </c>
      <c r="M22" s="1">
        <v>1</v>
      </c>
      <c r="N22" s="1">
        <v>1</v>
      </c>
      <c r="O22" s="1">
        <v>0.5</v>
      </c>
      <c r="P22" s="1">
        <v>0.5</v>
      </c>
      <c r="Q22" s="1">
        <v>1</v>
      </c>
      <c r="R22" s="1">
        <v>1</v>
      </c>
      <c r="S22" s="3">
        <v>0.83333333333333337</v>
      </c>
    </row>
    <row r="23" spans="1:19" x14ac:dyDescent="0.25">
      <c r="A23" t="s">
        <v>50</v>
      </c>
      <c r="B23" t="s">
        <v>51</v>
      </c>
      <c r="C23" s="1">
        <v>0.5</v>
      </c>
      <c r="D23" s="1">
        <v>1</v>
      </c>
      <c r="E23" s="1">
        <v>0</v>
      </c>
      <c r="F23" s="1">
        <v>0.75</v>
      </c>
      <c r="G23" s="1">
        <v>1</v>
      </c>
      <c r="H23" s="1">
        <v>0.5</v>
      </c>
      <c r="I23" s="3">
        <f t="shared" si="0"/>
        <v>0.625</v>
      </c>
      <c r="K23" t="str">
        <v>10.1109/ICSCSS69635.2026.11645870</v>
      </c>
      <c r="L23" t="str">
        <v>An Explainable Federated GNN Approach for Cross-Institution Student Dropout Prediction in MOOCs</v>
      </c>
      <c r="M23" s="1">
        <v>1</v>
      </c>
      <c r="N23" s="1">
        <v>1</v>
      </c>
      <c r="O23" s="1">
        <v>0.5</v>
      </c>
      <c r="P23" s="1">
        <v>0.5</v>
      </c>
      <c r="Q23" s="1">
        <v>1</v>
      </c>
      <c r="R23" s="1">
        <v>1</v>
      </c>
      <c r="S23" s="3">
        <v>0.83333333333333337</v>
      </c>
    </row>
    <row r="24" spans="1:19" x14ac:dyDescent="0.25">
      <c r="A24" t="s">
        <v>52</v>
      </c>
      <c r="B24" t="s">
        <v>53</v>
      </c>
      <c r="C24" s="1">
        <v>1</v>
      </c>
      <c r="D24" s="1">
        <v>1</v>
      </c>
      <c r="E24" s="1">
        <v>1</v>
      </c>
      <c r="F24" s="1">
        <v>0.75</v>
      </c>
      <c r="G24" s="1">
        <v>1</v>
      </c>
      <c r="H24" s="1">
        <v>0.75</v>
      </c>
      <c r="I24" s="3">
        <f t="shared" si="0"/>
        <v>0.91666666666666663</v>
      </c>
      <c r="K24" t="str">
        <v>10.7717/peerj-cs.3792</v>
      </c>
      <c r="L24" t="str">
        <v>Early warning and recommendation system for undergraduate students at higher education institutions based on machine learning methods</v>
      </c>
      <c r="M24" s="1">
        <v>1</v>
      </c>
      <c r="N24" s="1">
        <v>1</v>
      </c>
      <c r="O24" s="1">
        <v>0.25</v>
      </c>
      <c r="P24" s="1">
        <v>0.5</v>
      </c>
      <c r="Q24" s="1">
        <v>1</v>
      </c>
      <c r="R24" s="1">
        <v>1</v>
      </c>
      <c r="S24" s="3">
        <v>0.79166666666666663</v>
      </c>
    </row>
    <row r="25" spans="1:19" x14ac:dyDescent="0.25">
      <c r="A25" t="s">
        <v>54</v>
      </c>
      <c r="B25" t="s">
        <v>55</v>
      </c>
      <c r="C25" s="1">
        <v>1</v>
      </c>
      <c r="D25" s="1">
        <v>1</v>
      </c>
      <c r="E25" s="1">
        <v>0.5</v>
      </c>
      <c r="F25" s="1">
        <v>0.75</v>
      </c>
      <c r="G25" s="1">
        <v>0.5</v>
      </c>
      <c r="H25" s="1">
        <v>0.25</v>
      </c>
      <c r="I25" s="3">
        <f t="shared" si="0"/>
        <v>0.66666666666666663</v>
      </c>
      <c r="K25" t="str">
        <v>10.3390/app142310772</v>
      </c>
      <c r="L25" t="str">
        <v>Few Adjustable Parameters Prediction Model Based on Lightweight Prefix-Tuning: Learning Session Dropout Prediction Model Based on Parameter-Efficient Prefix-Tuning</v>
      </c>
      <c r="M25" s="1">
        <v>1</v>
      </c>
      <c r="N25" s="1">
        <v>1</v>
      </c>
      <c r="O25" s="1">
        <v>0</v>
      </c>
      <c r="P25" s="1">
        <v>0.75</v>
      </c>
      <c r="Q25" s="1">
        <v>1</v>
      </c>
      <c r="R25" s="1">
        <v>1</v>
      </c>
      <c r="S25" s="3">
        <v>0.79166666666666663</v>
      </c>
    </row>
    <row r="26" spans="1:19" x14ac:dyDescent="0.25">
      <c r="A26" t="s">
        <v>56</v>
      </c>
      <c r="B26" t="s">
        <v>57</v>
      </c>
      <c r="C26" s="1">
        <v>1</v>
      </c>
      <c r="D26" s="1">
        <v>1</v>
      </c>
      <c r="E26" s="1">
        <v>0</v>
      </c>
      <c r="F26" s="1">
        <v>0.5</v>
      </c>
      <c r="G26" s="1">
        <v>1</v>
      </c>
      <c r="H26" s="1">
        <v>0.5</v>
      </c>
      <c r="I26" s="3">
        <f t="shared" si="0"/>
        <v>0.66666666666666663</v>
      </c>
      <c r="K26" t="str">
        <v>10.1108/IDD-08-2024-0120</v>
      </c>
      <c r="L26" t="str">
        <v>Leveraging machine learning and clickstream data to improve student performance prediction in virtual learning environments</v>
      </c>
      <c r="M26" s="1">
        <v>1</v>
      </c>
      <c r="N26" s="1">
        <v>1</v>
      </c>
      <c r="O26" s="1">
        <v>0.5</v>
      </c>
      <c r="P26" s="1">
        <v>0.25</v>
      </c>
      <c r="Q26" s="1">
        <v>1</v>
      </c>
      <c r="R26" s="1">
        <v>1</v>
      </c>
      <c r="S26" s="3">
        <v>0.79166666666666663</v>
      </c>
    </row>
    <row r="27" spans="1:19" x14ac:dyDescent="0.25">
      <c r="A27" t="s">
        <v>58</v>
      </c>
      <c r="B27" t="s">
        <v>59</v>
      </c>
      <c r="C27" s="1">
        <v>1</v>
      </c>
      <c r="D27" s="1">
        <v>1</v>
      </c>
      <c r="E27" s="1">
        <v>0</v>
      </c>
      <c r="F27" s="1">
        <v>0.5</v>
      </c>
      <c r="G27" s="1">
        <v>1</v>
      </c>
      <c r="H27" s="1">
        <v>0.75</v>
      </c>
      <c r="I27" s="3">
        <f t="shared" si="0"/>
        <v>0.70833333333333337</v>
      </c>
      <c r="K27" t="str">
        <v>10.59543/jidmis.v3.1379</v>
      </c>
      <c r="L27" t="str">
        <v>Modeling Student–Project–Skill Interactions Using Graph Neural Networks for Enhanced Learning Analytics</v>
      </c>
      <c r="M27" s="1">
        <v>1</v>
      </c>
      <c r="N27" s="1">
        <v>1</v>
      </c>
      <c r="O27" s="1">
        <v>0.25</v>
      </c>
      <c r="P27" s="1">
        <v>0.5</v>
      </c>
      <c r="Q27" s="1">
        <v>1</v>
      </c>
      <c r="R27" s="1">
        <v>1</v>
      </c>
      <c r="S27" s="3">
        <v>0.79166666666666663</v>
      </c>
    </row>
    <row r="28" spans="1:19" x14ac:dyDescent="0.25">
      <c r="A28" t="s">
        <v>60</v>
      </c>
      <c r="B28" t="s">
        <v>61</v>
      </c>
      <c r="C28" s="1">
        <v>1</v>
      </c>
      <c r="D28" s="1">
        <v>0.75</v>
      </c>
      <c r="E28" s="1">
        <v>0</v>
      </c>
      <c r="F28" s="1">
        <v>0.5</v>
      </c>
      <c r="G28" s="1">
        <v>0.75</v>
      </c>
      <c r="H28" s="1">
        <v>1</v>
      </c>
      <c r="I28" s="3">
        <f t="shared" si="0"/>
        <v>0.66666666666666663</v>
      </c>
      <c r="K28" t="str">
        <v>10.1007/s00521-025-11018-7</v>
      </c>
      <c r="L28" t="str">
        <v>Introducing the Hyperdynamic Adaptive Learning Fusion (HALF) model for superior predictive analytics in E-learning</v>
      </c>
      <c r="M28" s="1">
        <v>1</v>
      </c>
      <c r="N28" s="1">
        <v>0.75</v>
      </c>
      <c r="O28" s="1">
        <v>0.25</v>
      </c>
      <c r="P28" s="1">
        <v>0.75</v>
      </c>
      <c r="Q28" s="1">
        <v>0.75</v>
      </c>
      <c r="R28" s="1">
        <v>1</v>
      </c>
      <c r="S28" s="3">
        <v>0.75</v>
      </c>
    </row>
    <row r="29" spans="1:19" x14ac:dyDescent="0.25">
      <c r="A29" t="s">
        <v>62</v>
      </c>
      <c r="B29" t="s">
        <v>63</v>
      </c>
      <c r="C29" s="1">
        <v>1</v>
      </c>
      <c r="D29" s="1">
        <v>1</v>
      </c>
      <c r="E29" s="1">
        <v>0</v>
      </c>
      <c r="F29" s="1">
        <v>1</v>
      </c>
      <c r="G29" s="1">
        <v>1</v>
      </c>
      <c r="H29" s="1">
        <v>1</v>
      </c>
      <c r="I29" s="3">
        <f t="shared" si="0"/>
        <v>0.83333333333333337</v>
      </c>
      <c r="K29" t="str">
        <v>10.1016/j.compeleceng.2022.108409</v>
      </c>
      <c r="L29" t="str">
        <v>MOOC dropout prediction using a fusion deep model based on behaviour features</v>
      </c>
      <c r="M29" s="1">
        <v>1</v>
      </c>
      <c r="N29" s="1">
        <v>1</v>
      </c>
      <c r="O29" s="1">
        <v>0</v>
      </c>
      <c r="P29" s="1">
        <v>0.5</v>
      </c>
      <c r="Q29" s="1">
        <v>1</v>
      </c>
      <c r="R29" s="1">
        <v>1</v>
      </c>
      <c r="S29" s="3">
        <v>0.75</v>
      </c>
    </row>
    <row r="30" spans="1:19" x14ac:dyDescent="0.25">
      <c r="A30" t="s">
        <v>64</v>
      </c>
      <c r="B30" t="s">
        <v>65</v>
      </c>
      <c r="C30" s="1">
        <v>1</v>
      </c>
      <c r="D30" s="1">
        <v>1</v>
      </c>
      <c r="E30" s="1">
        <v>0.25</v>
      </c>
      <c r="F30" s="1">
        <v>1</v>
      </c>
      <c r="G30" s="1">
        <v>0.75</v>
      </c>
      <c r="H30" s="1">
        <v>1</v>
      </c>
      <c r="I30" s="3">
        <f t="shared" si="0"/>
        <v>0.83333333333333337</v>
      </c>
      <c r="K30" t="str">
        <v>10.5753/wei.2022.223357</v>
      </c>
      <c r="L30" t="str">
        <v>Análise de Sobrevivência: um estudo de caso em um Curso de Sistemas de Informação</v>
      </c>
      <c r="M30" s="1">
        <v>1</v>
      </c>
      <c r="N30" s="1">
        <v>0.75</v>
      </c>
      <c r="O30" s="1">
        <v>0.75</v>
      </c>
      <c r="P30" s="1">
        <v>0.5</v>
      </c>
      <c r="Q30" s="1">
        <v>0.75</v>
      </c>
      <c r="R30" s="1">
        <v>0.75</v>
      </c>
      <c r="S30" s="3">
        <v>0.75</v>
      </c>
    </row>
    <row r="31" spans="1:19" x14ac:dyDescent="0.25">
      <c r="A31" t="s">
        <v>66</v>
      </c>
      <c r="B31" t="s">
        <v>67</v>
      </c>
      <c r="C31" s="1">
        <v>1</v>
      </c>
      <c r="D31" s="1">
        <v>1</v>
      </c>
      <c r="E31" s="1">
        <v>0.5</v>
      </c>
      <c r="F31" s="1">
        <v>0.75</v>
      </c>
      <c r="G31" s="1">
        <v>1</v>
      </c>
      <c r="H31" s="1">
        <v>1</v>
      </c>
      <c r="I31" s="3">
        <f t="shared" si="0"/>
        <v>0.875</v>
      </c>
      <c r="K31" t="str">
        <v>10.5753/erbd.2026.20265</v>
      </c>
      <c r="L31" t="str">
        <v>Predição de evasão no curso de Sistemas de Informação da UFSM utilizando dados históricos</v>
      </c>
      <c r="M31" s="1">
        <v>1</v>
      </c>
      <c r="N31" s="1">
        <v>1</v>
      </c>
      <c r="O31" s="1">
        <v>0.5</v>
      </c>
      <c r="P31" s="1">
        <v>0.25</v>
      </c>
      <c r="Q31" s="1">
        <v>1</v>
      </c>
      <c r="R31" s="1">
        <v>0.75</v>
      </c>
      <c r="S31" s="3">
        <v>0.75</v>
      </c>
    </row>
    <row r="32" spans="1:19" x14ac:dyDescent="0.25">
      <c r="A32" t="s">
        <v>68</v>
      </c>
      <c r="B32" t="s">
        <v>69</v>
      </c>
      <c r="C32" s="1">
        <v>1</v>
      </c>
      <c r="D32" s="1">
        <v>1</v>
      </c>
      <c r="E32" s="1">
        <v>1</v>
      </c>
      <c r="F32" s="1">
        <v>0</v>
      </c>
      <c r="G32" s="1">
        <v>1</v>
      </c>
      <c r="H32" s="1">
        <v>1</v>
      </c>
      <c r="I32" s="3">
        <f t="shared" si="0"/>
        <v>0.83333333333333337</v>
      </c>
      <c r="K32" t="str">
        <v>10.34028/iajit/23/4/13</v>
      </c>
      <c r="L32" t="str">
        <v>Cognitive-Fuzzy Learning System-Based University English Smart Classroom Teaching Design and Application</v>
      </c>
      <c r="M32" s="1">
        <v>0.75</v>
      </c>
      <c r="N32" s="1">
        <v>0.75</v>
      </c>
      <c r="O32" s="1">
        <v>0.25</v>
      </c>
      <c r="P32" s="1">
        <v>0.75</v>
      </c>
      <c r="Q32" s="1">
        <v>0.75</v>
      </c>
      <c r="R32" s="1">
        <v>1</v>
      </c>
      <c r="S32" s="3">
        <v>0.70833333333333337</v>
      </c>
    </row>
    <row r="33" spans="1:19" x14ac:dyDescent="0.25">
      <c r="A33" t="s">
        <v>70</v>
      </c>
      <c r="B33" t="s">
        <v>71</v>
      </c>
      <c r="C33" s="1">
        <v>1</v>
      </c>
      <c r="D33" s="1">
        <v>0.75</v>
      </c>
      <c r="E33" s="1">
        <v>0.5</v>
      </c>
      <c r="F33" s="1">
        <v>1</v>
      </c>
      <c r="G33" s="1">
        <v>0.75</v>
      </c>
      <c r="H33" s="1">
        <v>1</v>
      </c>
      <c r="I33" s="3">
        <f t="shared" si="0"/>
        <v>0.83333333333333337</v>
      </c>
      <c r="K33" t="str">
        <v>10.1007/s12652-025-04997-x</v>
      </c>
      <c r="L33" t="str">
        <v>Students’ engagement prediction in online learning context via face emotion and data features with improved LinkNet and Bi-LSTM architecture</v>
      </c>
      <c r="M33" s="1">
        <v>1</v>
      </c>
      <c r="N33" s="1">
        <v>1</v>
      </c>
      <c r="O33" s="1">
        <v>0</v>
      </c>
      <c r="P33" s="1">
        <v>0.25</v>
      </c>
      <c r="Q33" s="1">
        <v>1</v>
      </c>
      <c r="R33" s="1">
        <v>1</v>
      </c>
      <c r="S33" s="3">
        <v>0.70833333333333337</v>
      </c>
    </row>
    <row r="34" spans="1:19" x14ac:dyDescent="0.25">
      <c r="A34" t="s">
        <v>72</v>
      </c>
      <c r="B34" t="s">
        <v>73</v>
      </c>
      <c r="C34" s="1">
        <v>1</v>
      </c>
      <c r="D34" s="1">
        <v>1</v>
      </c>
      <c r="E34" s="1">
        <v>0.75</v>
      </c>
      <c r="F34" s="1">
        <v>0.5</v>
      </c>
      <c r="G34" s="1">
        <v>1</v>
      </c>
      <c r="H34" s="1">
        <v>1</v>
      </c>
      <c r="I34" s="3">
        <f t="shared" si="0"/>
        <v>0.875</v>
      </c>
      <c r="K34" t="str">
        <v>10.3844/jcssp.2026.1721.1742</v>
      </c>
      <c r="L34" t="str">
        <v>Evaluation of Machine Learning Models to Predict Student Academic Performance Using Structured Educational Data</v>
      </c>
      <c r="M34" s="1">
        <v>1</v>
      </c>
      <c r="N34" s="1">
        <v>1</v>
      </c>
      <c r="O34" s="1">
        <v>0</v>
      </c>
      <c r="P34" s="1">
        <v>0.5</v>
      </c>
      <c r="Q34" s="1">
        <v>1</v>
      </c>
      <c r="R34" s="1">
        <v>0.75</v>
      </c>
      <c r="S34" s="3">
        <v>0.70833333333333337</v>
      </c>
    </row>
    <row r="35" spans="1:19" x14ac:dyDescent="0.25">
      <c r="A35" t="s">
        <v>74</v>
      </c>
      <c r="B35" t="s">
        <v>75</v>
      </c>
      <c r="C35" s="1">
        <v>1</v>
      </c>
      <c r="D35" s="1">
        <v>0.75</v>
      </c>
      <c r="E35" s="1">
        <v>0</v>
      </c>
      <c r="F35" s="1">
        <v>0.5</v>
      </c>
      <c r="G35" s="1">
        <v>0.75</v>
      </c>
      <c r="H35" s="1">
        <v>0.75</v>
      </c>
      <c r="I35" s="3">
        <f t="shared" si="0"/>
        <v>0.625</v>
      </c>
      <c r="K35" t="str">
        <v>10.1109/GSEACT68539.2026.11620534</v>
      </c>
      <c r="L35" t="str">
        <v>AI-Based Student Performance Prediction using Machine Learning Techniques</v>
      </c>
      <c r="M35" s="1">
        <v>1</v>
      </c>
      <c r="N35" s="1">
        <v>0.5</v>
      </c>
      <c r="O35" s="1">
        <v>0.5</v>
      </c>
      <c r="P35" s="1">
        <v>0.75</v>
      </c>
      <c r="Q35" s="1">
        <v>0.5</v>
      </c>
      <c r="R35" s="1">
        <v>1</v>
      </c>
      <c r="S35" s="3">
        <v>0.70833333333333337</v>
      </c>
    </row>
    <row r="36" spans="1:19" x14ac:dyDescent="0.25">
      <c r="A36" t="s">
        <v>76</v>
      </c>
      <c r="B36" t="s">
        <v>77</v>
      </c>
      <c r="C36" s="1">
        <v>1</v>
      </c>
      <c r="D36" s="1">
        <v>1</v>
      </c>
      <c r="E36" s="1">
        <v>0.5</v>
      </c>
      <c r="F36" s="1">
        <v>0.5</v>
      </c>
      <c r="G36" s="1">
        <v>1</v>
      </c>
      <c r="H36" s="1">
        <v>1</v>
      </c>
      <c r="I36" s="3">
        <f t="shared" si="0"/>
        <v>0.83333333333333337</v>
      </c>
      <c r="K36" t="str">
        <v>10.1109/IEHNS68708.2026.11606961</v>
      </c>
      <c r="L36" t="str">
        <v>Multidimensional Data Analysis and Effect Evaluation Model Construction of Practical Education Projects in Colleges and Universities</v>
      </c>
      <c r="M36" s="1">
        <v>1</v>
      </c>
      <c r="N36" s="1">
        <v>1</v>
      </c>
      <c r="O36" s="1">
        <v>0</v>
      </c>
      <c r="P36" s="1">
        <v>0.5</v>
      </c>
      <c r="Q36" s="1">
        <v>1</v>
      </c>
      <c r="R36" s="1">
        <v>0.75</v>
      </c>
      <c r="S36" s="3">
        <v>0.70833333333333337</v>
      </c>
    </row>
    <row r="37" spans="1:19" x14ac:dyDescent="0.25">
      <c r="A37" t="s">
        <v>78</v>
      </c>
      <c r="B37" t="s">
        <v>79</v>
      </c>
      <c r="C37" s="1">
        <v>1</v>
      </c>
      <c r="D37" s="1">
        <v>0.75</v>
      </c>
      <c r="E37" s="1">
        <v>0.5</v>
      </c>
      <c r="F37" s="1">
        <v>0.75</v>
      </c>
      <c r="G37" s="1">
        <v>0.5</v>
      </c>
      <c r="H37" s="1">
        <v>0.25</v>
      </c>
      <c r="I37" s="3">
        <f t="shared" si="0"/>
        <v>0.625</v>
      </c>
      <c r="K37" t="str">
        <v>10.1504/IJICT.2024.143413</v>
      </c>
      <c r="L37" t="str">
        <v>Assessment of civic education in universities from a multidimensional perspective: the Integration of OBE and CIPP models</v>
      </c>
      <c r="M37" s="1">
        <v>0.75</v>
      </c>
      <c r="N37" s="1">
        <v>1</v>
      </c>
      <c r="O37" s="1">
        <v>0</v>
      </c>
      <c r="P37" s="1">
        <v>0.5</v>
      </c>
      <c r="Q37" s="1">
        <v>0.75</v>
      </c>
      <c r="R37" s="1">
        <v>1</v>
      </c>
      <c r="S37" s="3">
        <v>0.66666666666666663</v>
      </c>
    </row>
    <row r="38" spans="1:19" x14ac:dyDescent="0.25">
      <c r="A38" t="s">
        <v>80</v>
      </c>
      <c r="B38" t="s">
        <v>81</v>
      </c>
      <c r="C38" s="1">
        <v>1</v>
      </c>
      <c r="D38" s="1">
        <v>1</v>
      </c>
      <c r="E38" s="1">
        <v>0</v>
      </c>
      <c r="F38" s="1">
        <v>0.5</v>
      </c>
      <c r="G38" s="1">
        <v>1</v>
      </c>
      <c r="H38" s="1">
        <v>0.5</v>
      </c>
      <c r="I38" s="3">
        <f t="shared" si="0"/>
        <v>0.66666666666666663</v>
      </c>
      <c r="K38" t="str">
        <v>10.1109/ACCESS.2022.3195531</v>
      </c>
      <c r="L38" t="str">
        <v>IntelliDaM: A Machine Learning-Based Framework for Enhancing the Performance of Decision-Making Processes. A Case Study for Educational Data Mining</v>
      </c>
      <c r="M38" s="1">
        <v>1</v>
      </c>
      <c r="N38" s="1">
        <v>1</v>
      </c>
      <c r="O38" s="1">
        <v>0</v>
      </c>
      <c r="P38" s="1">
        <v>0.5</v>
      </c>
      <c r="Q38" s="1">
        <v>0.75</v>
      </c>
      <c r="R38" s="1">
        <v>0.75</v>
      </c>
      <c r="S38" s="3">
        <v>0.66666666666666663</v>
      </c>
    </row>
    <row r="39" spans="1:19" x14ac:dyDescent="0.25">
      <c r="A39" t="s">
        <v>82</v>
      </c>
      <c r="B39" t="s">
        <v>83</v>
      </c>
      <c r="C39" s="1">
        <v>1</v>
      </c>
      <c r="D39" s="1">
        <v>0.5</v>
      </c>
      <c r="E39" s="1">
        <v>0.5</v>
      </c>
      <c r="F39" s="1">
        <v>0.75</v>
      </c>
      <c r="G39" s="1">
        <v>0.5</v>
      </c>
      <c r="H39" s="1">
        <v>1</v>
      </c>
      <c r="I39" s="3">
        <f t="shared" si="0"/>
        <v>0.70833333333333337</v>
      </c>
      <c r="K39" t="str">
        <v>10.4018/IJeC.316658</v>
      </c>
      <c r="L39" t="str">
        <v>Cognitive Web Service-Based Learning Analytics in Education Systems Using Big Data Analytics</v>
      </c>
      <c r="M39" s="1">
        <v>1</v>
      </c>
      <c r="N39" s="1">
        <v>1</v>
      </c>
      <c r="O39" s="1">
        <v>0.5</v>
      </c>
      <c r="P39" s="1">
        <v>0.75</v>
      </c>
      <c r="Q39" s="1">
        <v>0.5</v>
      </c>
      <c r="R39" s="1">
        <v>0.25</v>
      </c>
      <c r="S39" s="3">
        <v>0.66666666666666663</v>
      </c>
    </row>
    <row r="40" spans="1:19" x14ac:dyDescent="0.25">
      <c r="A40" t="s">
        <v>84</v>
      </c>
      <c r="B40" t="s">
        <v>85</v>
      </c>
      <c r="C40" s="1">
        <v>1</v>
      </c>
      <c r="D40" s="1">
        <v>0.75</v>
      </c>
      <c r="E40" s="1">
        <v>0</v>
      </c>
      <c r="F40" s="1">
        <v>0.5</v>
      </c>
      <c r="G40" s="1">
        <v>0.5</v>
      </c>
      <c r="H40" s="1">
        <v>1</v>
      </c>
      <c r="I40" s="3">
        <f t="shared" si="0"/>
        <v>0.625</v>
      </c>
      <c r="K40" t="str">
        <v>10.1109/CogMI56440.2022.00029</v>
      </c>
      <c r="L40" t="str">
        <v>An approach to dealing with incremental concept drift in personalized learning systems</v>
      </c>
      <c r="M40" s="1">
        <v>1</v>
      </c>
      <c r="N40" s="1">
        <v>1</v>
      </c>
      <c r="O40" s="1">
        <v>0</v>
      </c>
      <c r="P40" s="1">
        <v>0.5</v>
      </c>
      <c r="Q40" s="1">
        <v>1</v>
      </c>
      <c r="R40" s="1">
        <v>0.5</v>
      </c>
      <c r="S40" s="3">
        <v>0.66666666666666663</v>
      </c>
    </row>
    <row r="41" spans="1:19" x14ac:dyDescent="0.25">
      <c r="A41" t="s">
        <v>86</v>
      </c>
      <c r="B41" t="s">
        <v>87</v>
      </c>
      <c r="C41" s="1">
        <v>1</v>
      </c>
      <c r="D41" s="1">
        <v>1</v>
      </c>
      <c r="E41" s="1">
        <v>0</v>
      </c>
      <c r="F41" s="1">
        <v>0.75</v>
      </c>
      <c r="G41" s="1">
        <v>0.5</v>
      </c>
      <c r="H41" s="1">
        <v>0.5</v>
      </c>
      <c r="I41" s="3">
        <f t="shared" si="0"/>
        <v>0.625</v>
      </c>
      <c r="K41" t="str">
        <v>10.3390/app11146453</v>
      </c>
      <c r="L41" t="str">
        <v>Quantifying the impact of student enrollment patterns on academic success using a hidden markov model</v>
      </c>
      <c r="M41" s="1">
        <v>1</v>
      </c>
      <c r="N41" s="1">
        <v>0.75</v>
      </c>
      <c r="O41" s="1">
        <v>0</v>
      </c>
      <c r="P41" s="1">
        <v>0.5</v>
      </c>
      <c r="Q41" s="1">
        <v>0.75</v>
      </c>
      <c r="R41" s="1">
        <v>1</v>
      </c>
      <c r="S41" s="3">
        <v>0.66666666666666663</v>
      </c>
    </row>
    <row r="42" spans="1:19" x14ac:dyDescent="0.25">
      <c r="A42" t="s">
        <v>88</v>
      </c>
      <c r="B42" t="s">
        <v>89</v>
      </c>
      <c r="C42" s="1">
        <v>1</v>
      </c>
      <c r="D42" s="1">
        <v>1</v>
      </c>
      <c r="E42" s="1">
        <v>0.5</v>
      </c>
      <c r="F42" s="1">
        <v>0.25</v>
      </c>
      <c r="G42" s="1">
        <v>1</v>
      </c>
      <c r="H42" s="1">
        <v>1</v>
      </c>
      <c r="I42" s="3">
        <f t="shared" si="0"/>
        <v>0.79166666666666663</v>
      </c>
      <c r="K42" t="str">
        <v>10.1145/3775073.3775153</v>
      </c>
      <c r="L42" t="str">
        <v>GPAformer: A Transformer-Based Framework for Predictive Academic Performance Modeling and Real-Time Intervention in Undergraduate education</v>
      </c>
      <c r="M42" s="1">
        <v>1</v>
      </c>
      <c r="N42" s="1">
        <v>1</v>
      </c>
      <c r="O42" s="1">
        <v>0</v>
      </c>
      <c r="P42" s="1">
        <v>0.5</v>
      </c>
      <c r="Q42" s="1">
        <v>1</v>
      </c>
      <c r="R42" s="1">
        <v>0.5</v>
      </c>
      <c r="S42" s="3">
        <v>0.66666666666666663</v>
      </c>
    </row>
    <row r="43" spans="1:19" x14ac:dyDescent="0.25">
      <c r="A43" t="s">
        <v>90</v>
      </c>
      <c r="B43" t="s">
        <v>91</v>
      </c>
      <c r="C43" s="1">
        <v>1</v>
      </c>
      <c r="D43" s="1">
        <v>1</v>
      </c>
      <c r="E43" s="1">
        <v>1</v>
      </c>
      <c r="F43" s="1">
        <v>0.5</v>
      </c>
      <c r="G43" s="1">
        <v>1</v>
      </c>
      <c r="H43" s="1">
        <v>1</v>
      </c>
      <c r="I43" s="3">
        <f t="shared" si="0"/>
        <v>0.91666666666666663</v>
      </c>
      <c r="K43" t="str">
        <v>10.1109/EESPE68405.2026.11648551</v>
      </c>
      <c r="L43" t="str">
        <v>Dynamic Assessment and Early Warning of Learning Risks Based on Multidimensional Temporal Behavior Modeling</v>
      </c>
      <c r="M43" s="1">
        <v>1</v>
      </c>
      <c r="N43" s="1">
        <v>0.5</v>
      </c>
      <c r="O43" s="1">
        <v>0.5</v>
      </c>
      <c r="P43" s="1">
        <v>0.5</v>
      </c>
      <c r="Q43" s="1">
        <v>0.5</v>
      </c>
      <c r="R43" s="1">
        <v>1</v>
      </c>
      <c r="S43" s="3">
        <v>0.66666666666666663</v>
      </c>
    </row>
    <row r="44" spans="1:19" x14ac:dyDescent="0.25">
      <c r="A44" t="s">
        <v>92</v>
      </c>
      <c r="B44" t="s">
        <v>93</v>
      </c>
      <c r="C44" s="1">
        <v>1</v>
      </c>
      <c r="D44" s="1">
        <v>1</v>
      </c>
      <c r="E44" s="1">
        <v>1</v>
      </c>
      <c r="F44" s="1">
        <v>0.25</v>
      </c>
      <c r="G44" s="1">
        <v>0.75</v>
      </c>
      <c r="H44" s="1">
        <v>1</v>
      </c>
      <c r="I44" s="3">
        <f t="shared" si="0"/>
        <v>0.83333333333333337</v>
      </c>
      <c r="K44" t="str">
        <v>10.22364/bjmc.2025.13.4.07</v>
      </c>
      <c r="L44" t="str">
        <v>Predicting Student Performance on a Novel Moodle Dataset Using GRU Time Series Model</v>
      </c>
      <c r="M44" s="1">
        <v>1</v>
      </c>
      <c r="N44" s="1">
        <v>0.75</v>
      </c>
      <c r="O44" s="1">
        <v>0.25</v>
      </c>
      <c r="P44" s="1">
        <v>0</v>
      </c>
      <c r="Q44" s="1">
        <v>0.75</v>
      </c>
      <c r="R44" s="1">
        <v>1</v>
      </c>
      <c r="S44" s="3">
        <v>0.625</v>
      </c>
    </row>
    <row r="45" spans="1:19" x14ac:dyDescent="0.25">
      <c r="A45" t="s">
        <v>94</v>
      </c>
      <c r="B45" t="s">
        <v>95</v>
      </c>
      <c r="C45" s="1">
        <v>1</v>
      </c>
      <c r="D45" s="1">
        <v>1</v>
      </c>
      <c r="E45" s="1">
        <v>0.5</v>
      </c>
      <c r="F45" s="1">
        <v>0.5</v>
      </c>
      <c r="G45" s="1">
        <v>1</v>
      </c>
      <c r="H45" s="1">
        <v>1</v>
      </c>
      <c r="I45" s="3">
        <f t="shared" si="0"/>
        <v>0.83333333333333337</v>
      </c>
      <c r="K45" t="str">
        <v>10.1007/s42979-022-01251-5</v>
      </c>
      <c r="L45" t="str">
        <v>A Hybrid Approach Using Decision Tree and Multiple Linear Regression for Predicting Students’ Performance Based on Learning Progress and Behavior</v>
      </c>
      <c r="M45" s="1">
        <v>1</v>
      </c>
      <c r="N45" s="1">
        <v>0.75</v>
      </c>
      <c r="O45" s="1">
        <v>0</v>
      </c>
      <c r="P45" s="1">
        <v>0.5</v>
      </c>
      <c r="Q45" s="1">
        <v>0.5</v>
      </c>
      <c r="R45" s="1">
        <v>1</v>
      </c>
      <c r="S45" s="3">
        <v>0.625</v>
      </c>
    </row>
    <row r="46" spans="1:19" x14ac:dyDescent="0.25">
      <c r="A46" t="s">
        <v>96</v>
      </c>
      <c r="C46" s="1">
        <v>1</v>
      </c>
      <c r="D46" s="1">
        <v>1</v>
      </c>
      <c r="E46" s="1">
        <v>0.5</v>
      </c>
      <c r="F46" s="1">
        <v>0.5</v>
      </c>
      <c r="G46" s="1">
        <v>1</v>
      </c>
      <c r="H46" s="1">
        <v>1</v>
      </c>
      <c r="I46" s="3">
        <f t="shared" si="0"/>
        <v>0.83333333333333337</v>
      </c>
      <c r="K46" t="str">
        <v>10.1109/ICECCC61767.2024.10593955</v>
      </c>
      <c r="L46" t="str">
        <v>Predicting Student Dropout Rates in Massive Open Online Courses Using an Attention-Based GCNN Model</v>
      </c>
      <c r="M46" s="1">
        <v>1</v>
      </c>
      <c r="N46" s="1">
        <v>0.75</v>
      </c>
      <c r="O46" s="1">
        <v>0</v>
      </c>
      <c r="P46" s="1">
        <v>0.25</v>
      </c>
      <c r="Q46" s="1">
        <v>0.75</v>
      </c>
      <c r="R46" s="1">
        <v>1</v>
      </c>
      <c r="S46" s="3">
        <v>0.625</v>
      </c>
    </row>
    <row r="47" spans="1:19" x14ac:dyDescent="0.25">
      <c r="A47" t="s">
        <v>97</v>
      </c>
      <c r="B47" t="s">
        <v>98</v>
      </c>
      <c r="C47" s="1">
        <v>1</v>
      </c>
      <c r="D47" s="1">
        <v>0.75</v>
      </c>
      <c r="E47" s="1">
        <v>0.75</v>
      </c>
      <c r="F47" s="1">
        <v>0.5</v>
      </c>
      <c r="G47" s="1">
        <v>0.75</v>
      </c>
      <c r="H47" s="1">
        <v>0.75</v>
      </c>
      <c r="I47" s="3">
        <f t="shared" si="0"/>
        <v>0.75</v>
      </c>
      <c r="K47" t="str">
        <v>10.3390/math10142381</v>
      </c>
      <c r="L47" t="str">
        <v>One Aggregated Approach in Multidisciplinary Based Modeling to Predict Further Students’ Education</v>
      </c>
      <c r="M47" s="1">
        <v>1</v>
      </c>
      <c r="N47" s="1">
        <v>1</v>
      </c>
      <c r="O47" s="1">
        <v>0</v>
      </c>
      <c r="P47" s="1">
        <v>0.75</v>
      </c>
      <c r="Q47" s="1">
        <v>0.75</v>
      </c>
      <c r="R47" s="1">
        <v>0.25</v>
      </c>
      <c r="S47" s="3">
        <v>0.625</v>
      </c>
    </row>
    <row r="48" spans="1:19" x14ac:dyDescent="0.25">
      <c r="A48" t="s">
        <v>99</v>
      </c>
      <c r="B48" t="s">
        <v>100</v>
      </c>
      <c r="C48" s="1">
        <v>1</v>
      </c>
      <c r="D48" s="1">
        <v>1</v>
      </c>
      <c r="E48" s="1">
        <v>0.5</v>
      </c>
      <c r="F48" s="1">
        <v>0.5</v>
      </c>
      <c r="G48" s="1">
        <v>1</v>
      </c>
      <c r="H48" s="1">
        <v>1</v>
      </c>
      <c r="I48" s="3">
        <f t="shared" si="0"/>
        <v>0.83333333333333337</v>
      </c>
      <c r="K48" t="str">
        <v>10.1155/2022/7846247</v>
      </c>
      <c r="L48" t="str">
        <v>Application of GA-BP Neural Network in Online Education Quality Evaluation in Colleges and Universities</v>
      </c>
      <c r="M48" s="1">
        <v>1</v>
      </c>
      <c r="N48" s="1">
        <v>1</v>
      </c>
      <c r="O48" s="1">
        <v>0</v>
      </c>
      <c r="P48" s="1">
        <v>0.75</v>
      </c>
      <c r="Q48" s="1">
        <v>0.75</v>
      </c>
      <c r="R48" s="1">
        <v>0.25</v>
      </c>
      <c r="S48" s="3">
        <v>0.625</v>
      </c>
    </row>
    <row r="49" spans="1:19" x14ac:dyDescent="0.25">
      <c r="A49" t="s">
        <v>101</v>
      </c>
      <c r="B49" t="s">
        <v>102</v>
      </c>
      <c r="C49" s="1">
        <v>1</v>
      </c>
      <c r="D49" s="1">
        <v>1</v>
      </c>
      <c r="E49" s="1">
        <v>0.75</v>
      </c>
      <c r="F49" s="1">
        <v>0.75</v>
      </c>
      <c r="G49" s="1">
        <v>1</v>
      </c>
      <c r="H49" s="1">
        <v>1</v>
      </c>
      <c r="I49" s="3">
        <f t="shared" si="0"/>
        <v>0.91666666666666663</v>
      </c>
      <c r="K49" t="str">
        <v>10.1117/12.3082462</v>
      </c>
      <c r="L49" t="str">
        <v>Research on data modeling and strategy optimization algorithm of teacher guidance behavior for precision teaching</v>
      </c>
      <c r="M49" s="1">
        <v>1</v>
      </c>
      <c r="N49" s="1">
        <v>1</v>
      </c>
      <c r="O49" s="1">
        <v>0</v>
      </c>
      <c r="P49" s="1">
        <v>0.75</v>
      </c>
      <c r="Q49" s="1">
        <v>1</v>
      </c>
      <c r="R49" s="1">
        <v>0</v>
      </c>
      <c r="S49" s="3">
        <v>0.625</v>
      </c>
    </row>
    <row r="50" spans="1:19" x14ac:dyDescent="0.25">
      <c r="A50" t="s">
        <v>103</v>
      </c>
      <c r="B50" t="s">
        <v>104</v>
      </c>
      <c r="C50" s="1">
        <v>1</v>
      </c>
      <c r="D50" s="1">
        <v>1</v>
      </c>
      <c r="E50" s="1">
        <v>0.5</v>
      </c>
      <c r="F50" s="1">
        <v>0.25</v>
      </c>
      <c r="G50" s="1">
        <v>1</v>
      </c>
      <c r="H50" s="1">
        <v>0.75</v>
      </c>
      <c r="I50" s="3">
        <f t="shared" si="0"/>
        <v>0.75</v>
      </c>
      <c r="K50" t="str">
        <v>10.1109/FIE63693.2025.11328252</v>
      </c>
      <c r="L50" t="str">
        <v>Automated Student Engagement Detection Using Hybrid Deep Learning and Machine Learning Techniques</v>
      </c>
      <c r="M50" s="1">
        <v>0.5</v>
      </c>
      <c r="N50" s="1">
        <v>1</v>
      </c>
      <c r="O50" s="1">
        <v>0</v>
      </c>
      <c r="P50" s="1">
        <v>0.75</v>
      </c>
      <c r="Q50" s="1">
        <v>1</v>
      </c>
      <c r="R50" s="1">
        <v>0.5</v>
      </c>
      <c r="S50" s="3">
        <v>0.625</v>
      </c>
    </row>
    <row r="51" spans="1:19" x14ac:dyDescent="0.25">
      <c r="A51" t="s">
        <v>105</v>
      </c>
      <c r="B51" t="s">
        <v>106</v>
      </c>
      <c r="C51" s="1">
        <v>1</v>
      </c>
      <c r="D51" s="1">
        <v>1</v>
      </c>
      <c r="E51" s="1">
        <v>0.5</v>
      </c>
      <c r="F51" s="1">
        <v>0.5</v>
      </c>
      <c r="G51" s="1">
        <v>1</v>
      </c>
      <c r="H51" s="1">
        <v>1</v>
      </c>
      <c r="I51" s="3">
        <f t="shared" si="0"/>
        <v>0.83333333333333337</v>
      </c>
      <c r="K51" t="str">
        <v>10.1145/3700297.3700314</v>
      </c>
      <c r="L51" t="str">
        <v>Research on online learning behavior classification method based on LSTM and CNN</v>
      </c>
      <c r="M51" s="1">
        <v>1</v>
      </c>
      <c r="N51" s="1">
        <v>0.75</v>
      </c>
      <c r="O51" s="1">
        <v>0</v>
      </c>
      <c r="P51" s="1">
        <v>0.5</v>
      </c>
      <c r="Q51" s="1">
        <v>0.75</v>
      </c>
      <c r="R51" s="1">
        <v>0.75</v>
      </c>
      <c r="S51" s="3">
        <v>0.625</v>
      </c>
    </row>
    <row r="52" spans="1:19" x14ac:dyDescent="0.25">
      <c r="A52" t="s">
        <v>107</v>
      </c>
      <c r="B52" t="s">
        <v>108</v>
      </c>
      <c r="C52" s="1">
        <v>1</v>
      </c>
      <c r="D52" s="1">
        <v>1</v>
      </c>
      <c r="E52" s="1">
        <v>0</v>
      </c>
      <c r="F52" s="1">
        <v>0.5</v>
      </c>
      <c r="G52" s="1">
        <v>1</v>
      </c>
      <c r="H52" s="1">
        <v>0.75</v>
      </c>
      <c r="I52" s="3">
        <f t="shared" si="0"/>
        <v>0.70833333333333337</v>
      </c>
      <c r="K52" t="str">
        <v>10.1109/AIMLA63829.2025.11040379</v>
      </c>
      <c r="L52" t="str">
        <v>Revolutionizing Departmental Management through Intelligent Technology:A Machine Learning Approach to Optimization</v>
      </c>
      <c r="M52" s="1">
        <v>1</v>
      </c>
      <c r="N52" s="1">
        <v>0.75</v>
      </c>
      <c r="O52" s="1">
        <v>0.5</v>
      </c>
      <c r="P52" s="1">
        <v>0.75</v>
      </c>
      <c r="Q52" s="1">
        <v>0.5</v>
      </c>
      <c r="R52" s="1">
        <v>0.25</v>
      </c>
      <c r="S52" s="3">
        <v>0.625</v>
      </c>
    </row>
    <row r="53" spans="1:19" x14ac:dyDescent="0.25">
      <c r="A53" t="s">
        <v>109</v>
      </c>
      <c r="B53" t="s">
        <v>110</v>
      </c>
      <c r="C53" s="1">
        <v>1</v>
      </c>
      <c r="D53" s="1">
        <v>1</v>
      </c>
      <c r="E53" s="1">
        <v>0.25</v>
      </c>
      <c r="F53" s="1">
        <v>0.5</v>
      </c>
      <c r="G53" s="1">
        <v>1</v>
      </c>
      <c r="H53" s="1">
        <v>1</v>
      </c>
      <c r="I53" s="3">
        <f t="shared" si="0"/>
        <v>0.79166666666666663</v>
      </c>
      <c r="K53" t="str">
        <v>10.1109/ICMCTC62214.2025.11196115</v>
      </c>
      <c r="L53" t="str">
        <v>Optimizing Student Engagement Prediction with Machine Learning and Big Data Analytics</v>
      </c>
      <c r="M53" s="1">
        <v>1</v>
      </c>
      <c r="N53" s="1">
        <v>0.75</v>
      </c>
      <c r="O53" s="1">
        <v>0</v>
      </c>
      <c r="P53" s="1">
        <v>0.5</v>
      </c>
      <c r="Q53" s="1">
        <v>0.5</v>
      </c>
      <c r="R53" s="1">
        <v>1</v>
      </c>
      <c r="S53" s="3">
        <v>0.625</v>
      </c>
    </row>
    <row r="54" spans="1:19" x14ac:dyDescent="0.25">
      <c r="A54" t="s">
        <v>111</v>
      </c>
      <c r="B54" t="s">
        <v>112</v>
      </c>
      <c r="C54" s="1">
        <v>1</v>
      </c>
      <c r="D54" s="1">
        <v>0.5</v>
      </c>
      <c r="E54" s="1">
        <v>0.5</v>
      </c>
      <c r="F54" s="1">
        <v>0.5</v>
      </c>
      <c r="G54" s="1">
        <v>0.5</v>
      </c>
      <c r="H54" s="1">
        <v>1</v>
      </c>
      <c r="I54" s="3">
        <f t="shared" si="0"/>
        <v>0.66666666666666663</v>
      </c>
      <c r="K54" t="str">
        <v>10.1109/IIPEM65914.2025.11548244</v>
      </c>
      <c r="L54" t="str">
        <v>Hybrid Machine Learning Approach for Classification and Recommendation of EDM</v>
      </c>
      <c r="M54" s="1">
        <v>1</v>
      </c>
      <c r="N54" s="1">
        <v>1</v>
      </c>
      <c r="O54" s="1">
        <v>0</v>
      </c>
      <c r="P54" s="1">
        <v>0.75</v>
      </c>
      <c r="Q54" s="1">
        <v>0.5</v>
      </c>
      <c r="R54" s="1">
        <v>0.5</v>
      </c>
      <c r="S54" s="3">
        <v>0.625</v>
      </c>
    </row>
    <row r="55" spans="1:19" x14ac:dyDescent="0.25">
      <c r="A55" t="s">
        <v>133</v>
      </c>
      <c r="B55" t="s">
        <v>119</v>
      </c>
      <c r="C55" s="1">
        <v>0.75</v>
      </c>
      <c r="D55" s="1">
        <v>0.25</v>
      </c>
      <c r="E55" s="1">
        <v>0.5</v>
      </c>
      <c r="F55" s="1">
        <v>0.5</v>
      </c>
      <c r="G55" s="1">
        <v>0.25</v>
      </c>
      <c r="H55" s="1">
        <v>0.75</v>
      </c>
      <c r="I55" s="3">
        <f t="shared" si="0"/>
        <v>0.5</v>
      </c>
      <c r="K55" t="str">
        <v>10.5753/sbie.2024.242655</v>
      </c>
      <c r="L55" t="str">
        <v>Construção dinâmica de modelos de learning analytics explicáveis e justos aplicados ao acompanhamento de estudantes de graduação</v>
      </c>
      <c r="M55" s="1">
        <v>0.75</v>
      </c>
      <c r="N55" s="1">
        <v>0</v>
      </c>
      <c r="O55" s="1">
        <v>0.5</v>
      </c>
      <c r="P55" s="1">
        <v>0.5</v>
      </c>
      <c r="Q55" s="1">
        <v>0.75</v>
      </c>
      <c r="R55" s="1">
        <v>1</v>
      </c>
      <c r="S55" s="3">
        <v>0.58333333333333337</v>
      </c>
    </row>
    <row r="56" spans="1:19" x14ac:dyDescent="0.25">
      <c r="A56" t="s">
        <v>134</v>
      </c>
      <c r="B56" t="s">
        <v>120</v>
      </c>
      <c r="C56" s="1">
        <v>0.5</v>
      </c>
      <c r="D56" s="1">
        <v>0.25</v>
      </c>
      <c r="E56" s="1">
        <v>0</v>
      </c>
      <c r="F56" s="1">
        <v>0.5</v>
      </c>
      <c r="G56" s="1">
        <v>0.5</v>
      </c>
      <c r="H56" s="1">
        <v>0.75</v>
      </c>
      <c r="I56" s="3">
        <f t="shared" si="0"/>
        <v>0.41666666666666669</v>
      </c>
      <c r="K56" t="str">
        <v>10.1109/LAAI69202.2025.00067</v>
      </c>
      <c r="L56" t="str">
        <v>Digital Transformation of University Political Education Courses Using Artificial Intelligence and Machine Learning</v>
      </c>
      <c r="M56" s="1">
        <v>1</v>
      </c>
      <c r="N56" s="1">
        <v>0.5</v>
      </c>
      <c r="O56" s="1">
        <v>0.5</v>
      </c>
      <c r="P56" s="1">
        <v>0.5</v>
      </c>
      <c r="Q56" s="1">
        <v>0.5</v>
      </c>
      <c r="R56" s="1">
        <v>0.5</v>
      </c>
      <c r="S56" s="3">
        <v>0.58333333333333337</v>
      </c>
    </row>
    <row r="57" spans="1:19" x14ac:dyDescent="0.25">
      <c r="A57" t="s">
        <v>135</v>
      </c>
      <c r="B57" t="s">
        <v>121</v>
      </c>
      <c r="C57" s="1">
        <v>0.75</v>
      </c>
      <c r="D57" s="1">
        <v>0</v>
      </c>
      <c r="E57" s="1">
        <v>0.5</v>
      </c>
      <c r="F57" s="1">
        <v>0.5</v>
      </c>
      <c r="G57" s="1">
        <v>0.75</v>
      </c>
      <c r="H57" s="1">
        <v>1</v>
      </c>
      <c r="I57" s="3">
        <f t="shared" si="0"/>
        <v>0.58333333333333337</v>
      </c>
      <c r="K57" t="str">
        <v>10.1109/iSSSC66652.2025.11388775</v>
      </c>
      <c r="L57" t="str">
        <v>Intelligent Student Activity and Performance Monitoring System for Online Education</v>
      </c>
      <c r="M57" s="1">
        <v>1</v>
      </c>
      <c r="N57" s="1">
        <v>0.5</v>
      </c>
      <c r="O57" s="1">
        <v>0.5</v>
      </c>
      <c r="P57" s="1">
        <v>0.5</v>
      </c>
      <c r="Q57" s="1">
        <v>0.5</v>
      </c>
      <c r="R57" s="1">
        <v>0.5</v>
      </c>
      <c r="S57" s="3">
        <v>0.58333333333333337</v>
      </c>
    </row>
    <row r="58" spans="1:19" x14ac:dyDescent="0.25">
      <c r="A58" t="s">
        <v>136</v>
      </c>
      <c r="B58" t="s">
        <v>122</v>
      </c>
      <c r="C58" s="1">
        <v>1</v>
      </c>
      <c r="D58" s="1">
        <v>0.5</v>
      </c>
      <c r="E58" s="1">
        <v>0.5</v>
      </c>
      <c r="F58" s="1">
        <v>0.5</v>
      </c>
      <c r="G58" s="1">
        <v>0.5</v>
      </c>
      <c r="H58" s="1">
        <v>0.5</v>
      </c>
      <c r="I58" s="3">
        <f t="shared" si="0"/>
        <v>0.58333333333333337</v>
      </c>
      <c r="K58" t="str">
        <v>10.1109/ICSCAI68849.2026.11649079</v>
      </c>
      <c r="L58" t="str">
        <v>Machine Learning Algorithms in Educational Data Mining: Enhancing Student Outcomes</v>
      </c>
      <c r="M58" s="1">
        <v>1</v>
      </c>
      <c r="N58" s="1">
        <v>0.5</v>
      </c>
      <c r="O58" s="1">
        <v>0.5</v>
      </c>
      <c r="P58" s="1">
        <v>0.5</v>
      </c>
      <c r="Q58" s="1">
        <v>0.5</v>
      </c>
      <c r="R58" s="1">
        <v>0.5</v>
      </c>
      <c r="S58" s="3">
        <v>0.58333333333333337</v>
      </c>
    </row>
    <row r="59" spans="1:19" x14ac:dyDescent="0.25">
      <c r="A59" t="s">
        <v>137</v>
      </c>
      <c r="B59" t="s">
        <v>123</v>
      </c>
      <c r="C59" s="1">
        <v>1</v>
      </c>
      <c r="D59" s="1">
        <v>0.25</v>
      </c>
      <c r="E59" s="1">
        <v>0.25</v>
      </c>
      <c r="F59" s="1">
        <v>0.25</v>
      </c>
      <c r="G59" s="1">
        <v>0.5</v>
      </c>
      <c r="H59" s="1">
        <v>0.5</v>
      </c>
      <c r="I59" s="3">
        <f t="shared" si="0"/>
        <v>0.45833333333333331</v>
      </c>
      <c r="K59" t="str">
        <v>10.1109/ICIICS63763.2024.10859995</v>
      </c>
      <c r="L59" t="str">
        <v>Unveiling Student Success: A Multifaceted Approach with Learning Coefficients and Beyond</v>
      </c>
      <c r="M59" s="1">
        <v>1</v>
      </c>
      <c r="N59" s="1">
        <v>1</v>
      </c>
      <c r="O59" s="1">
        <v>0</v>
      </c>
      <c r="P59" s="1">
        <v>0.5</v>
      </c>
      <c r="Q59" s="1">
        <v>0.75</v>
      </c>
      <c r="R59" s="1">
        <v>0.25</v>
      </c>
      <c r="S59" s="3">
        <v>0.58333333333333337</v>
      </c>
    </row>
    <row r="60" spans="1:19" x14ac:dyDescent="0.25">
      <c r="A60" t="s">
        <v>138</v>
      </c>
      <c r="B60" t="s">
        <v>124</v>
      </c>
      <c r="C60" s="1">
        <v>1</v>
      </c>
      <c r="D60" s="1">
        <v>0</v>
      </c>
      <c r="E60" s="1">
        <v>0</v>
      </c>
      <c r="F60" s="1">
        <v>0.5</v>
      </c>
      <c r="G60" s="1">
        <v>0.75</v>
      </c>
      <c r="H60" s="1">
        <v>1</v>
      </c>
      <c r="I60" s="3">
        <f t="shared" si="0"/>
        <v>0.54166666666666663</v>
      </c>
      <c r="K60" t="str">
        <v>10.70917/ijcisim-2026-2384</v>
      </c>
      <c r="L60" t="str">
        <v>XGNN-AP: Explainable Graph Neural Network for Academic Performance</v>
      </c>
      <c r="M60" s="1">
        <v>1</v>
      </c>
      <c r="N60" s="1">
        <v>0</v>
      </c>
      <c r="O60" s="1">
        <v>0.5</v>
      </c>
      <c r="P60" s="1">
        <v>0.5</v>
      </c>
      <c r="Q60" s="1">
        <v>1</v>
      </c>
      <c r="R60" s="1">
        <v>0.5</v>
      </c>
      <c r="S60" s="3">
        <v>0.58333333333333337</v>
      </c>
    </row>
    <row r="61" spans="1:19" x14ac:dyDescent="0.25">
      <c r="A61" t="s">
        <v>139</v>
      </c>
      <c r="B61" t="s">
        <v>125</v>
      </c>
      <c r="C61" s="1">
        <v>1</v>
      </c>
      <c r="D61" s="1">
        <v>0.5</v>
      </c>
      <c r="E61" s="1">
        <v>0.5</v>
      </c>
      <c r="F61" s="1">
        <v>0.5</v>
      </c>
      <c r="G61" s="1">
        <v>0.5</v>
      </c>
      <c r="H61" s="1">
        <v>0.5</v>
      </c>
      <c r="I61" s="3">
        <f t="shared" si="0"/>
        <v>0.58333333333333337</v>
      </c>
      <c r="K61" t="str">
        <v>10.1007/s11042-023-17525-w</v>
      </c>
      <c r="L61" t="str">
        <v>Efficient hyperparameter tuning for predicting student performance with Bayesian optimization</v>
      </c>
      <c r="M61" s="1">
        <v>1</v>
      </c>
      <c r="N61" s="1">
        <v>0</v>
      </c>
      <c r="O61" s="1">
        <v>0</v>
      </c>
      <c r="P61" s="1">
        <v>0.5</v>
      </c>
      <c r="Q61" s="1">
        <v>0.75</v>
      </c>
      <c r="R61" s="1">
        <v>1</v>
      </c>
      <c r="S61" s="3">
        <v>0.54166666666666663</v>
      </c>
    </row>
    <row r="62" spans="1:19" x14ac:dyDescent="0.25">
      <c r="A62" t="s">
        <v>140</v>
      </c>
      <c r="B62" t="s">
        <v>126</v>
      </c>
      <c r="C62" s="1">
        <v>0.75</v>
      </c>
      <c r="D62" s="1">
        <v>1</v>
      </c>
      <c r="E62" s="1">
        <v>0</v>
      </c>
      <c r="F62" s="1">
        <v>0.5</v>
      </c>
      <c r="G62" s="1">
        <v>0.5</v>
      </c>
      <c r="H62" s="1">
        <v>0.5</v>
      </c>
      <c r="I62" s="3">
        <f t="shared" si="0"/>
        <v>0.54166666666666663</v>
      </c>
      <c r="K62" t="str">
        <v>10.1109/SILCON63976.2024.10910596</v>
      </c>
      <c r="L62" t="str">
        <v>MOOC Learner Performance Prediction with CNN-LSTM Mechanism</v>
      </c>
      <c r="M62" s="1">
        <v>0.75</v>
      </c>
      <c r="N62" s="1">
        <v>1</v>
      </c>
      <c r="O62" s="1">
        <v>0</v>
      </c>
      <c r="P62" s="1">
        <v>0.5</v>
      </c>
      <c r="Q62" s="1">
        <v>0.5</v>
      </c>
      <c r="R62" s="1">
        <v>0.5</v>
      </c>
      <c r="S62" s="3">
        <v>0.54166666666666663</v>
      </c>
    </row>
    <row r="63" spans="1:19" x14ac:dyDescent="0.25">
      <c r="A63" t="s">
        <v>141</v>
      </c>
      <c r="B63" t="s">
        <v>127</v>
      </c>
      <c r="C63" s="1">
        <v>1</v>
      </c>
      <c r="D63" s="1">
        <v>0.5</v>
      </c>
      <c r="E63" s="1">
        <v>0.5</v>
      </c>
      <c r="F63" s="1">
        <v>0.5</v>
      </c>
      <c r="G63" s="1">
        <v>0.5</v>
      </c>
      <c r="H63" s="1">
        <v>0.5</v>
      </c>
      <c r="I63" s="3">
        <f t="shared" si="0"/>
        <v>0.58333333333333337</v>
      </c>
      <c r="K63" t="str">
        <v>10.1145/3802133.3802201</v>
      </c>
      <c r="L63" t="str">
        <v>Research on the Construction of a Smart Learning Model for Cross-Border E-Commerce Major in Hunan Vocational Colleges under the Orientation of Professional Competency</v>
      </c>
      <c r="M63" s="1">
        <v>0.75</v>
      </c>
      <c r="N63" s="1">
        <v>0.5</v>
      </c>
      <c r="O63" s="1">
        <v>0</v>
      </c>
      <c r="P63" s="1">
        <v>0.5</v>
      </c>
      <c r="Q63" s="1">
        <v>0.5</v>
      </c>
      <c r="R63" s="1">
        <v>1</v>
      </c>
      <c r="S63" s="3">
        <v>0.54166666666666663</v>
      </c>
    </row>
    <row r="64" spans="1:19" x14ac:dyDescent="0.25">
      <c r="A64" t="s">
        <v>142</v>
      </c>
      <c r="B64" t="s">
        <v>128</v>
      </c>
      <c r="C64" s="1">
        <v>1</v>
      </c>
      <c r="D64" s="1">
        <v>0</v>
      </c>
      <c r="E64" s="1">
        <v>0</v>
      </c>
      <c r="F64" s="1">
        <v>0.5</v>
      </c>
      <c r="G64" s="1">
        <v>0.5</v>
      </c>
      <c r="H64" s="1">
        <v>0.75</v>
      </c>
      <c r="I64" s="3">
        <f t="shared" si="0"/>
        <v>0.45833333333333331</v>
      </c>
      <c r="K64" t="str">
        <v>10.1109/ICACITE60783.2024.10617260</v>
      </c>
      <c r="L64" t="str">
        <v>A Well Structured Strategy Development via AI Integrated Analytics Systems to Improve Performance of Education</v>
      </c>
      <c r="M64" s="1">
        <v>0.75</v>
      </c>
      <c r="N64" s="1">
        <v>0.25</v>
      </c>
      <c r="O64" s="1">
        <v>0.5</v>
      </c>
      <c r="P64" s="1">
        <v>0.5</v>
      </c>
      <c r="Q64" s="1">
        <v>0.25</v>
      </c>
      <c r="R64" s="1">
        <v>0.75</v>
      </c>
      <c r="S64" s="3">
        <v>0.5</v>
      </c>
    </row>
    <row r="65" spans="1:19" x14ac:dyDescent="0.25">
      <c r="A65" t="s">
        <v>143</v>
      </c>
      <c r="B65" t="s">
        <v>129</v>
      </c>
      <c r="C65" s="1">
        <v>0.75</v>
      </c>
      <c r="D65" s="1">
        <v>0.5</v>
      </c>
      <c r="E65" s="1">
        <v>0</v>
      </c>
      <c r="F65" s="1">
        <v>0.5</v>
      </c>
      <c r="G65" s="1">
        <v>0.5</v>
      </c>
      <c r="H65" s="1">
        <v>1</v>
      </c>
      <c r="I65" s="3">
        <f t="shared" si="0"/>
        <v>0.54166666666666663</v>
      </c>
      <c r="K65" t="str">
        <v>10.1145/3797552.3797796</v>
      </c>
      <c r="L65" t="str">
        <v>Research on the English Teaching Evaluation Algorithm Based on Data Mining Technology</v>
      </c>
      <c r="M65" s="1">
        <v>1</v>
      </c>
      <c r="N65" s="1">
        <v>0</v>
      </c>
      <c r="O65" s="1">
        <v>0</v>
      </c>
      <c r="P65" s="1">
        <v>0.5</v>
      </c>
      <c r="Q65" s="1">
        <v>1</v>
      </c>
      <c r="R65" s="1">
        <v>0.5</v>
      </c>
      <c r="S65" s="3">
        <v>0.5</v>
      </c>
    </row>
    <row r="66" spans="1:19" x14ac:dyDescent="0.25">
      <c r="A66" t="s">
        <v>144</v>
      </c>
      <c r="B66" t="s">
        <v>130</v>
      </c>
      <c r="C66" s="1">
        <v>1</v>
      </c>
      <c r="D66" s="1">
        <v>0</v>
      </c>
      <c r="E66" s="1">
        <v>0</v>
      </c>
      <c r="F66" s="1">
        <v>0.5</v>
      </c>
      <c r="G66" s="1">
        <v>1</v>
      </c>
      <c r="H66" s="1">
        <v>0.5</v>
      </c>
      <c r="I66" s="3">
        <f t="shared" si="0"/>
        <v>0.5</v>
      </c>
      <c r="K66" t="str">
        <v>10.23919/IST-Africa63983.2024.10569389</v>
      </c>
      <c r="L66" t="str">
        <v>Digital Twin Monitoring of Classes and Students</v>
      </c>
      <c r="M66" s="1">
        <v>1</v>
      </c>
      <c r="N66" s="1">
        <v>0.25</v>
      </c>
      <c r="O66" s="1">
        <v>0.25</v>
      </c>
      <c r="P66" s="1">
        <v>0.25</v>
      </c>
      <c r="Q66" s="1">
        <v>0.5</v>
      </c>
      <c r="R66" s="1">
        <v>0.5</v>
      </c>
      <c r="S66" s="3">
        <v>0.45833333333333331</v>
      </c>
    </row>
    <row r="67" spans="1:19" x14ac:dyDescent="0.25">
      <c r="A67" t="s">
        <v>145</v>
      </c>
      <c r="B67" t="s">
        <v>131</v>
      </c>
      <c r="C67" s="1">
        <v>1</v>
      </c>
      <c r="D67" s="1">
        <v>1</v>
      </c>
      <c r="E67" s="1">
        <v>0</v>
      </c>
      <c r="F67" s="1">
        <v>0.5</v>
      </c>
      <c r="G67" s="1">
        <v>0.75</v>
      </c>
      <c r="H67" s="1">
        <v>0.25</v>
      </c>
      <c r="I67" s="3">
        <f t="shared" ref="I67:I68" si="1">SUM(C67:H67)/COUNTA(C67:H67)</f>
        <v>0.58333333333333337</v>
      </c>
      <c r="K67" t="str">
        <v>10.1109/IC4e65071.2025.11075311</v>
      </c>
      <c r="L67" t="str">
        <v>Predicting Student Dropout Rates in Online Education Platforms utilizing Naive Bayes Algorithm</v>
      </c>
      <c r="M67" s="1">
        <v>1</v>
      </c>
      <c r="N67" s="1">
        <v>0</v>
      </c>
      <c r="O67" s="1">
        <v>0</v>
      </c>
      <c r="P67" s="1">
        <v>0.5</v>
      </c>
      <c r="Q67" s="1">
        <v>0.5</v>
      </c>
      <c r="R67" s="1">
        <v>0.75</v>
      </c>
      <c r="S67" s="3">
        <v>0.45833333333333331</v>
      </c>
    </row>
    <row r="68" spans="1:19" x14ac:dyDescent="0.25">
      <c r="A68" t="s">
        <v>146</v>
      </c>
      <c r="B68" t="s">
        <v>132</v>
      </c>
      <c r="C68" s="1">
        <v>1</v>
      </c>
      <c r="D68" s="1">
        <v>0</v>
      </c>
      <c r="E68" s="1">
        <v>0.5</v>
      </c>
      <c r="F68" s="1">
        <v>0.5</v>
      </c>
      <c r="G68" s="1">
        <v>1</v>
      </c>
      <c r="H68" s="1">
        <v>0.5</v>
      </c>
      <c r="I68" s="3">
        <f t="shared" si="1"/>
        <v>0.58333333333333337</v>
      </c>
      <c r="K68" t="str">
        <v>10.1016/j.procs.2024.08.210</v>
      </c>
      <c r="L68" t="str">
        <v>Assessment of Higher-order Thinking Skills in Conversation Situation</v>
      </c>
      <c r="M68" s="1">
        <v>0.5</v>
      </c>
      <c r="N68" s="1">
        <v>0.25</v>
      </c>
      <c r="O68" s="1">
        <v>0</v>
      </c>
      <c r="P68" s="1">
        <v>0.5</v>
      </c>
      <c r="Q68" s="1">
        <v>0.5</v>
      </c>
      <c r="R68" s="1">
        <v>0.75</v>
      </c>
      <c r="S68" s="3">
        <v>0.41666666666666669</v>
      </c>
    </row>
    <row r="70" spans="1:19" x14ac:dyDescent="0.25">
      <c r="M70" t="s">
        <v>113</v>
      </c>
      <c r="N70" t="s">
        <v>114</v>
      </c>
      <c r="O70" t="s">
        <v>115</v>
      </c>
      <c r="P70" t="s">
        <v>116</v>
      </c>
      <c r="Q70" t="s">
        <v>117</v>
      </c>
      <c r="R70" t="s">
        <v>118</v>
      </c>
    </row>
    <row r="71" spans="1:19" x14ac:dyDescent="0.25">
      <c r="M71" s="3">
        <f>SUM(M2:M68)/COUNTA(M2:M68)</f>
        <v>0.96268656716417911</v>
      </c>
      <c r="N71" s="3">
        <f t="shared" ref="N71:R71" si="2">SUM(N2:N68)/COUNTA(N2:N68)</f>
        <v>0.80597014925373134</v>
      </c>
      <c r="O71" s="3">
        <f t="shared" si="2"/>
        <v>0.34328358208955223</v>
      </c>
      <c r="P71" s="3">
        <f t="shared" si="2"/>
        <v>0.55970149253731338</v>
      </c>
      <c r="Q71" s="3">
        <f t="shared" si="2"/>
        <v>0.81343283582089554</v>
      </c>
      <c r="R71" s="3">
        <f t="shared" si="2"/>
        <v>0.80970149253731338</v>
      </c>
    </row>
    <row r="73" spans="1:19" x14ac:dyDescent="0.25">
      <c r="M73" t="s">
        <v>2</v>
      </c>
      <c r="N73" t="s">
        <v>3</v>
      </c>
      <c r="O73" t="s">
        <v>4</v>
      </c>
      <c r="P73" t="s">
        <v>5</v>
      </c>
      <c r="Q73" t="s">
        <v>6</v>
      </c>
      <c r="R73" t="s">
        <v>7</v>
      </c>
    </row>
    <row r="74" spans="1:19" x14ac:dyDescent="0.25">
      <c r="L74" s="1">
        <v>1</v>
      </c>
      <c r="M74">
        <f>COUNTIF(M2:M68,$L74)</f>
        <v>59</v>
      </c>
      <c r="N74">
        <f t="shared" ref="N74:R74" si="3">COUNTIF(N2:N68,$L74)</f>
        <v>42</v>
      </c>
      <c r="O74">
        <f t="shared" si="3"/>
        <v>8</v>
      </c>
      <c r="P74">
        <f t="shared" si="3"/>
        <v>6</v>
      </c>
      <c r="Q74">
        <f t="shared" si="3"/>
        <v>34</v>
      </c>
      <c r="R74">
        <f t="shared" si="3"/>
        <v>40</v>
      </c>
    </row>
    <row r="75" spans="1:19" x14ac:dyDescent="0.25">
      <c r="L75" s="1">
        <v>0.75</v>
      </c>
      <c r="M75">
        <f t="shared" ref="M75:R75" si="4">COUNTIF(M3:M69,$L75)</f>
        <v>6</v>
      </c>
      <c r="N75">
        <f t="shared" si="4"/>
        <v>11</v>
      </c>
      <c r="O75">
        <f t="shared" si="4"/>
        <v>4</v>
      </c>
      <c r="P75">
        <f t="shared" si="4"/>
        <v>15</v>
      </c>
      <c r="Q75">
        <f t="shared" si="4"/>
        <v>17</v>
      </c>
      <c r="R75">
        <f t="shared" si="4"/>
        <v>10</v>
      </c>
    </row>
    <row r="76" spans="1:19" x14ac:dyDescent="0.25">
      <c r="L76" s="1">
        <v>0.5</v>
      </c>
      <c r="M76">
        <f t="shared" ref="M76:R76" si="5">COUNTIF(M4:M70,$L76)</f>
        <v>2</v>
      </c>
      <c r="N76">
        <f t="shared" si="5"/>
        <v>6</v>
      </c>
      <c r="O76">
        <f t="shared" si="5"/>
        <v>20</v>
      </c>
      <c r="P76">
        <f t="shared" si="5"/>
        <v>37</v>
      </c>
      <c r="Q76">
        <f t="shared" si="5"/>
        <v>15</v>
      </c>
      <c r="R76">
        <f t="shared" si="5"/>
        <v>11</v>
      </c>
    </row>
    <row r="77" spans="1:19" x14ac:dyDescent="0.25">
      <c r="L77" s="1">
        <v>0.25</v>
      </c>
      <c r="M77">
        <f t="shared" ref="M77:R77" si="6">COUNTIF(M5:M71,$L77)</f>
        <v>0</v>
      </c>
      <c r="N77">
        <f t="shared" si="6"/>
        <v>3</v>
      </c>
      <c r="O77">
        <f t="shared" si="6"/>
        <v>8</v>
      </c>
      <c r="P77">
        <f t="shared" si="6"/>
        <v>7</v>
      </c>
      <c r="Q77">
        <f t="shared" si="6"/>
        <v>1</v>
      </c>
      <c r="R77">
        <f t="shared" si="6"/>
        <v>5</v>
      </c>
    </row>
    <row r="78" spans="1:19" x14ac:dyDescent="0.25">
      <c r="L78" s="1">
        <v>0</v>
      </c>
      <c r="M78">
        <f t="shared" ref="M78:R78" si="7">COUNTIF(M6:M72,$L78)</f>
        <v>0</v>
      </c>
      <c r="N78">
        <f t="shared" si="7"/>
        <v>5</v>
      </c>
      <c r="O78">
        <f t="shared" si="7"/>
        <v>27</v>
      </c>
      <c r="P78">
        <f t="shared" si="7"/>
        <v>2</v>
      </c>
      <c r="Q78">
        <f t="shared" si="7"/>
        <v>0</v>
      </c>
      <c r="R78">
        <f t="shared" si="7"/>
        <v>1</v>
      </c>
    </row>
  </sheetData>
  <phoneticPr fontId="1" type="noConversion"/>
  <conditionalFormatting sqref="C2:H2">
    <cfRule type="colorScale" priority="10">
      <colorScale>
        <cfvo type="min"/>
        <cfvo type="max"/>
        <color rgb="FFF8696B"/>
        <color rgb="FFFCFCFF"/>
      </colorScale>
    </cfRule>
  </conditionalFormatting>
  <conditionalFormatting sqref="C2:H1048576">
    <cfRule type="colorScale" priority="9">
      <colorScale>
        <cfvo type="min"/>
        <cfvo type="max"/>
        <color rgb="FFF8696B"/>
        <color rgb="FFFCFCFF"/>
      </colorScale>
    </cfRule>
  </conditionalFormatting>
  <conditionalFormatting sqref="M2:R68">
    <cfRule type="colorScale" priority="5">
      <colorScale>
        <cfvo type="min"/>
        <cfvo type="max"/>
        <color rgb="FFF8696B"/>
        <color rgb="FFFCFCFF"/>
      </colorScale>
    </cfRule>
  </conditionalFormatting>
  <conditionalFormatting sqref="M71:R71">
    <cfRule type="colorScale" priority="1">
      <colorScale>
        <cfvo type="min"/>
        <cfvo type="max"/>
        <color rgb="FFFCFCFF"/>
        <color rgb="FF63BE7B"/>
      </colorScale>
    </cfRule>
  </conditionalFormatting>
  <conditionalFormatting sqref="M74:R78">
    <cfRule type="colorScale" priority="2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Quality Assessment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2026-10-06T21:31:06Z</dcterms:created>
  <dcterms:modified xsi:type="dcterms:W3CDTF">2026-10-06T21:32:26Z</dcterms:modified>
</cp:coreProperties>
</file>
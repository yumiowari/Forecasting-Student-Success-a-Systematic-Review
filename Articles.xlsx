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filterPrivacy="1"/>
  <xr:revisionPtr revIDLastSave="116" documentId="11_AD4D361C20488DEA4E38A0802C1D60325ADEDD88" xr6:coauthVersionLast="47" xr6:coauthVersionMax="47" xr10:uidLastSave="{642ED2A9-A40D-46ED-9EF5-6C60456E34BC}"/>
  <bookViews>
    <workbookView xWindow="45" yWindow="1155" windowWidth="21600" windowHeight="11295" firstSheet="2" activeTab="5" xr2:uid="{00000000-000D-0000-FFFF-FFFF00000000}"/>
  </bookViews>
  <sheets>
    <sheet name="Non-primary research" sheetId="6" r:id="rId1"/>
    <sheet name="Articles per selection criteria" sheetId="5" r:id="rId2"/>
    <sheet name="Records per search repository" sheetId="4" r:id="rId3"/>
    <sheet name="Records per publication year" sheetId="3" r:id="rId4"/>
    <sheet name="Selection status" sheetId="1" r:id="rId5"/>
    <sheet name="Articles" sheetId="2" r:id="rId6"/>
  </sheets>
  <definedNames>
    <definedName name="DadosExternos_1" localSheetId="5" hidden="1">Articles!$A$1:$Z$360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6" l="1" a="1"/>
  <c r="E1" i="5" a="1"/>
  <c r="B1" i="5" a="1"/>
  <c r="D1" i="4" a="1"/>
  <c r="B2" i="4"/>
  <c r="B3" i="4"/>
  <c r="B4" i="4"/>
  <c r="B5" i="4"/>
  <c r="B6" i="4"/>
  <c r="B1" i="4"/>
  <c r="A1" i="4" a="1"/>
  <c r="D1" i="3" a="1"/>
  <c r="B6" i="3"/>
  <c r="B2" i="3"/>
  <c r="B3" i="3"/>
  <c r="B4" i="3"/>
  <c r="B5" i="3"/>
  <c r="B1" i="3"/>
  <c r="A1" i="3" a="1"/>
  <c r="B2" i="1"/>
  <c r="B3" i="1"/>
  <c r="B1" i="1"/>
  <c r="A1" i="1" a="1"/>
  <c r="C4" i="5" l="1"/>
  <c r="C5" i="5"/>
  <c r="C2" i="5"/>
  <c r="C3" i="5"/>
  <c r="C6" i="5"/>
  <c r="C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67592D-EAD5-4CD0-8E6D-CBED38EF0343}" keepAlive="1" name="Consulta - Articles" description="Conexão com a consulta 'Articles' na pasta de trabalho." type="5" refreshedVersion="8" background="1" saveData="1">
    <dbPr connection="Provider=Microsoft.Mashup.OleDb.1;Data Source=$Workbook$;Location=Articles;Extended Properties=&quot;&quot;" command="SELECT * FROM [Article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<sst xmlns="http://schemas.openxmlformats.org/spreadsheetml/2006/main" count="5620" uniqueCount="3025">
  <si>
    <t>bibtex_key</t>
  </si>
  <si>
    <t>title</t>
  </si>
  <si>
    <t>author</t>
  </si>
  <si>
    <t>journal</t>
  </si>
  <si>
    <t>year</t>
  </si>
  <si>
    <t>source</t>
  </si>
  <si>
    <t>pages</t>
  </si>
  <si>
    <t>volume</t>
  </si>
  <si>
    <t>abstract</t>
  </si>
  <si>
    <t>document_type</t>
  </si>
  <si>
    <t>doi</t>
  </si>
  <si>
    <t>url</t>
  </si>
  <si>
    <t>affiliation</t>
  </si>
  <si>
    <t>author_keywords</t>
  </si>
  <si>
    <t>keywords</t>
  </si>
  <si>
    <t>publisher</t>
  </si>
  <si>
    <t>issn</t>
  </si>
  <si>
    <t>language</t>
  </si>
  <si>
    <t>note</t>
  </si>
  <si>
    <t>selection_criteria</t>
  </si>
  <si>
    <t>created_at</t>
  </si>
  <si>
    <t>updated_at</t>
  </si>
  <si>
    <t>created_by</t>
  </si>
  <si>
    <t>updated_by</t>
  </si>
  <si>
    <t>status</t>
  </si>
  <si>
    <t>comments</t>
  </si>
  <si>
    <t>An Explainable Federated GNN Approach for Cross-Institution Student Dropout Prediction in MOOCs</t>
  </si>
  <si>
    <t>Yaswanth, Modaduga Sai and Anjali, Podapati and Amulya, Guntakala and Nandini, Panem and Kumar, Kattupalli Anil</t>
  </si>
  <si>
    <t>4th International Conference on Sustainable Computing and Smart Systems, ICSCSS 2026 - Proceedings</t>
  </si>
  <si>
    <t>Scopus</t>
  </si>
  <si>
    <t>1499 – 1503</t>
  </si>
  <si>
    <t>None</t>
  </si>
  <si>
    <t>Conference paper</t>
  </si>
  <si>
    <t>10.1109/ICSCSS69635.2026.11645870</t>
  </si>
  <si>
    <t>https://www.scopus.com/inward/record.uri?eid=2-s2.0-105048339001&amp;doi=10.1109%2fICSCSS69635.2026.11645870&amp;partnerID=40&amp;md5=53b642f81d2528010c616ac657708437</t>
  </si>
  <si>
    <t>Institute of Electrical and Electronics Engineers Inc.</t>
  </si>
  <si>
    <t>English</t>
  </si>
  <si>
    <t>Cited by: 0</t>
  </si>
  <si>
    <t>Duplicate records across repositories</t>
  </si>
  <si>
    <t>Duplicated</t>
  </si>
  <si>
    <t>Construção dinâmica de modelos de learning analytics explicáveis e justos aplicados ao acompanhamento de estudantes de graduação</t>
  </si>
  <si>
    <t>Tarcísio Barbosa and Nathan Freitas and Lhaíslla Cavalcanti and Maria da Conceicao Batista and Roberta Gouveia and Gabriel Alves</t>
  </si>
  <si>
    <t>SBC OpenLib</t>
  </si>
  <si>
    <t>1918--1930</t>
  </si>
  <si>
    <t>10.5753/sbie.2024.242655</t>
  </si>
  <si>
    <t>https://sol.sbc.org.br/index.php/sbie/article/view/31367</t>
  </si>
  <si>
    <t>SBC</t>
  </si>
  <si>
    <t>0000-0000</t>
  </si>
  <si>
    <t>Studies focused on predicting student academic health in higher education</t>
  </si>
  <si>
    <t>Accepted</t>
  </si>
  <si>
    <t>Mineração de Dados Educacionais na Predição da Evasão Estudantil: Tendências, Oportunidades e Desafios</t>
  </si>
  <si>
    <t>Colpo, Miriam Pizzatto and Thompsen Primo, Tiago and Aguiar, Marilton Sanchotene de and Cechinel, Cristian</t>
  </si>
  <si>
    <t>Revista Brasileira de Informática na Educação</t>
  </si>
  <si>
    <t>220–256</t>
  </si>
  <si>
    <t>32</t>
  </si>
  <si>
    <t>10.5753/rbie.2024.3559</t>
  </si>
  <si>
    <t>https://journals-sol.sbc.org.br/index.php/rbie/article/view/3559</t>
  </si>
  <si>
    <t>Non-primary research (literature reviews) or non-peer-reviewed publications</t>
  </si>
  <si>
    <t>Rejected</t>
  </si>
  <si>
    <t>Educational data mining to support identification and prevention of academic retention and dropout: a case study in introductory programming</t>
  </si>
  <si>
    <t>Carneiro, Murillo Guimarães and Dutra, Bruna Luiza and Paiva, José Gustavo S. and Gabriel, Paulo Henrique Ribeiro and Araújo, Rafael Dias</t>
  </si>
  <si>
    <t>379–395</t>
  </si>
  <si>
    <t>30</t>
  </si>
  <si>
    <t>10.5753/rbie.2022.2518</t>
  </si>
  <si>
    <t>https://journals-sol.sbc.org.br/index.php/rbie/article/view/2518</t>
  </si>
  <si>
    <t>Machine Learning Algorithms in Educational Data Mining: Enhancing Student Outcomes</t>
  </si>
  <si>
    <t>Asaad, Renas Rajab and Almufti, Saman M. and Marqas, Ridwan Boya and Hussein, Chalang Suleiman and Majeed, Dilovan Asaad and Sallow, Amira Bibo and Zeebaree, Subhi R. M.</t>
  </si>
  <si>
    <t>2026 International Conference on Sustainable Computing and Integrated Communication in Changing Landscape of Al, ICSCAI 2026</t>
  </si>
  <si>
    <t>1067 – 1072</t>
  </si>
  <si>
    <t>10.1109/ICSCAI68849.2026.11649079</t>
  </si>
  <si>
    <t>https://www.scopus.com/inward/record.uri?eid=2-s2.0-105048632062&amp;doi=10.1109%2fICSCAI68849.2026.11649079&amp;partnerID=40&amp;md5=f86fa7f757ee7bf55afa3dc5a5cedfa2</t>
  </si>
  <si>
    <t>Dynamic Assessment and Early Warning of Learning Risks Based on Multidimensional Temporal Behavior Modeling</t>
  </si>
  <si>
    <t>Wang, Wei</t>
  </si>
  <si>
    <t>2026 IEEE 2nd International Conference on Electronics, Energy Systems and Power Engineering, EESPE 2026</t>
  </si>
  <si>
    <t>1024 – 1031</t>
  </si>
  <si>
    <t>10.1109/EESPE68405.2026.11648551</t>
  </si>
  <si>
    <t>https://www.scopus.com/inward/record.uri?eid=2-s2.0-105048698018&amp;doi=10.1109%2fEESPE68405.2026.11648551&amp;partnerID=40&amp;md5=1ac1e02c846d31faf2ee95034e1185b7</t>
  </si>
  <si>
    <t>Hybrid deep learning and IoT-based intelligent learning analytics system for personalized education</t>
  </si>
  <si>
    <t>Zhang, Xian and Chang, Xue</t>
  </si>
  <si>
    <t>Discover Computing</t>
  </si>
  <si>
    <t>29</t>
  </si>
  <si>
    <t>Article</t>
  </si>
  <si>
    <t>10.1007/s10791-026-10419-z</t>
  </si>
  <si>
    <t>https://www.scopus.com/inward/record.uri?eid=2-s2.0-105046892668&amp;doi=10.1007%2fs10791-026-10419-z&amp;partnerID=40&amp;md5=735ad952ba003372489151782753d612</t>
  </si>
  <si>
    <t>Springer Science and Business Media B.V.</t>
  </si>
  <si>
    <t>29482992</t>
  </si>
  <si>
    <t>Cited by: 0; All Open Access, Gold Open Access</t>
  </si>
  <si>
    <t>Studies focused on contexts other than higher education</t>
  </si>
  <si>
    <t>A Scalable SaaS Framework for AI-Enabled Personalized Education: System Design, Implementation, and Evaluation</t>
  </si>
  <si>
    <t>Yasmeen, Fiza and Pandey, Shikhar and Goel, Priya and Singh, Bhanu Pratap and Mitra, Arpit Ranjan</t>
  </si>
  <si>
    <t>Proceeding - 2026 IEEE 6th International Conference on Computing, Power, and Communication Technologies, IC2PCT 2026</t>
  </si>
  <si>
    <t>1154 – 1160</t>
  </si>
  <si>
    <t>10.1109/IC2PCT68894.2026.11584295</t>
  </si>
  <si>
    <t>https://www.scopus.com/inward/record.uri?eid=2-s2.0-105045296560&amp;doi=10.1109%2fIC2PCT68894.2026.11584295&amp;partnerID=40&amp;md5=e35ff2d26794cbb2133ba16671187baa</t>
  </si>
  <si>
    <t>Studies where student academic health prediction is not the primary objective or outcome</t>
  </si>
  <si>
    <t>Explainable Agentic AI for Big Data–Driven Evaluation and Visual Analytics of Digital Literacy in Higher Vocational Teacher Education</t>
  </si>
  <si>
    <t>Shao, Wen</t>
  </si>
  <si>
    <t>Big Data</t>
  </si>
  <si>
    <t>268 – 279</t>
  </si>
  <si>
    <t>14</t>
  </si>
  <si>
    <t>10.1177/2167647X261432584</t>
  </si>
  <si>
    <t>https://www.scopus.com/inward/record.uri?eid=2-s2.0-105046426238&amp;doi=10.1177%2f2167647X261432584&amp;partnerID=40&amp;md5=24d62b192f4a7fb07fb010b43da9d90a</t>
  </si>
  <si>
    <t>SAGE Publications Ltd</t>
  </si>
  <si>
    <t>21676461</t>
  </si>
  <si>
    <t>Modeling Student–Project–Skill Interactions Using Graph Neural Networks for Enhanced Learning Analytics</t>
  </si>
  <si>
    <t>Rao, Priya and Virdee, Bal and Rane, Nitin and Khanna, Ashish</t>
  </si>
  <si>
    <t>Journal of Intelligent Decision Making and Information Science</t>
  </si>
  <si>
    <t>120 – 130</t>
  </si>
  <si>
    <t>3</t>
  </si>
  <si>
    <t>10.59543/jidmis.v3.1379</t>
  </si>
  <si>
    <t>https://www.scopus.com/inward/record.uri?eid=2-s2.0-105047368208&amp;doi=10.59543%2fjidmis.v3.1379&amp;partnerID=40&amp;md5=693049e99e473f30808f8f268818b7a5</t>
  </si>
  <si>
    <t>Nexora Academic Press</t>
  </si>
  <si>
    <t>30790875</t>
  </si>
  <si>
    <t>Cited by: 0; All Open Access, Green Open Access, Hybrid Gold Open Access</t>
  </si>
  <si>
    <t>Unjustified trust and satisfaction in explainable artificial intelligence: The illusion of transparency persists across user expertise, even in objectively wrong outcomes</t>
  </si>
  <si>
    <t>Brdnik, Saša and Colakovic, Ivona and Karakatič, Sašo</t>
  </si>
  <si>
    <t>Engineering Applications of Artificial Intelligence</t>
  </si>
  <si>
    <t>182</t>
  </si>
  <si>
    <t>10.1016/j.engappai.2026.115894</t>
  </si>
  <si>
    <t>https://www.scopus.com/inward/record.uri?eid=2-s2.0-105047672863&amp;doi=10.1016%2fj.engappai.2026.115894&amp;partnerID=40&amp;md5=4e3e431a523854a0bc0e1860d788b92e</t>
  </si>
  <si>
    <t>Elsevier Ltd</t>
  </si>
  <si>
    <t>09521976</t>
  </si>
  <si>
    <t>Multidimensional Data Analysis and Effect Evaluation Model Construction of Practical Education Projects in Colleges and Universities</t>
  </si>
  <si>
    <t>Xiao, Yan</t>
  </si>
  <si>
    <t>Proceeding of the International Conference on Intelligent Engineering and Next-Gen Healthcare Systems, IEHNS 2026</t>
  </si>
  <si>
    <t>10.1109/IEHNS68708.2026.11606961</t>
  </si>
  <si>
    <t>https://www.scopus.com/inward/record.uri?eid=2-s2.0-105047891482&amp;doi=10.1109%2fIEHNS68708.2026.11606961&amp;partnerID=40&amp;md5=92df22cf4761cec6cab1da66b4a30918</t>
  </si>
  <si>
    <t>IEEE Digital Library</t>
  </si>
  <si>
    <t>1499-1503</t>
  </si>
  <si>
    <t>MOOC dropout prediction remains a critical challenge despite the availability of rich interaction data. Students disengage gradually or abruptly, and by the time conventional monitoring systems raise an alert, effective intervention opportunities are ofte</t>
  </si>
  <si>
    <t>Modeling;Graph neural networks;Learning (artificial intelligence);Printing;Training;Timing;Accuracy;Modules (abstract algebra);Conferences;Equations;MOOC Dropout Prediction;Graph Neural Networks (GNN);Student Engagement Analysis;Learning Behavior Modeling</t>
  </si>
  <si>
    <t>Análise Comparativa entre Métodos Tradicionais de Aprendizado de Máquina e Aprendizado Ativo na Predição da Evasão Escolar</t>
  </si>
  <si>
    <t>Felipe Araújo and Luciano Cabral and Rafael Mello</t>
  </si>
  <si>
    <t>37--44</t>
  </si>
  <si>
    <t>10.5753/wapla.2025.15898</t>
  </si>
  <si>
    <t>https://sol.sbc.org.br/index.php/wapla/article/view/39358</t>
  </si>
  <si>
    <t>Análise dos Impactos da Gestão do Tempo no Desempenho Acadêmico Através da Mineração de Dados Educacionais</t>
  </si>
  <si>
    <t>Pricylla Nascimento and Adelson Silva Junior and Camila Schulz and Maria Santos and Alexandre Maciel and Rodrigo Rodrigues and Robson Nascimento and Fernanda Alencar</t>
  </si>
  <si>
    <t>783--791</t>
  </si>
  <si>
    <t>10.5753/sbie.2021.217742</t>
  </si>
  <si>
    <t>https://sol.sbc.org.br/index.php/sbie/article/view/18106</t>
  </si>
  <si>
    <t>Análise de Sobrevivência: um estudo de caso em um Curso de Sistemas de Informação</t>
  </si>
  <si>
    <t>Joubert Souza and Karin Komati and Jefferson Andrade</t>
  </si>
  <si>
    <t>392--403</t>
  </si>
  <si>
    <t>10.5753/wei.2022.223357</t>
  </si>
  <si>
    <t>https://sol.sbc.org.br/index.php/wei/article/view/20847</t>
  </si>
  <si>
    <t>2595-6175</t>
  </si>
  <si>
    <t>Análise dos principais fatores que influenciam a evasão no ensino superior utilizando técnicas de mineração de dados educacionais</t>
  </si>
  <si>
    <t>Ronaldo Correia and Harrison Mendonça and Camila Silva and Douglas Toledo</t>
  </si>
  <si>
    <t>830--841</t>
  </si>
  <si>
    <t>10.5753/wei.2024.3105</t>
  </si>
  <si>
    <t>https://sol.sbc.org.br/index.php/wei/article/view/29680</t>
  </si>
  <si>
    <t>Learning Analytics em Cursos de Introdução à Programação: Uma Mostra da Universidade Federal do Amazonas</t>
  </si>
  <si>
    <t>Coelho, Flávio J. M. and Oliveira, Elaine H. T. and Pereira, Filipe D. and Oliveira, David B. F. and Carvalho, Leandro S. G. and Souto, Eduardo J. P. and Pessoa, Marcela and Melo, Rafaela and Lima, Marcos A. P. de and Nakamura, Fabiola G.</t>
  </si>
  <si>
    <t>1089–1127</t>
  </si>
  <si>
    <t>31</t>
  </si>
  <si>
    <t>10.5753/rbie.2023.3334</t>
  </si>
  <si>
    <t>https://journals-sol.sbc.org.br/index.php/rbie/article/view/3334</t>
  </si>
  <si>
    <t>Modelo de Predição de Evasão Escolar com Base em Dados de Autoavaliação de Cursos de Graduação</t>
  </si>
  <si>
    <t>Oliveira, Ronei dos Santos and Medeiros, Francisco Petronio Alencar de</t>
  </si>
  <si>
    <t>1–21</t>
  </si>
  <si>
    <t>10.5753/rbie.2024.3542</t>
  </si>
  <si>
    <t>https://journals-sol.sbc.org.br/index.php/rbie/article/view/3542</t>
  </si>
  <si>
    <t>Análise de Aprendizagem no Moodle: Construção de um Painel de Dados com Indicadores Educacionais</t>
  </si>
  <si>
    <t>Gabriella Carvalho and Joel Silva and Ágata Carvalho and Yan Fonseca and Julia Beccari and Renê Veloso and Jairo Souza and Eduardo Barrere</t>
  </si>
  <si>
    <t>85--98</t>
  </si>
  <si>
    <t>10.5753/sbie.2025.11975</t>
  </si>
  <si>
    <t>https://sol.sbc.org.br/index.php/sbie/article/view/38416</t>
  </si>
  <si>
    <t>Análise da Evasão Universitária em Cursos de Computação no Brasil: Estudo de Caso em uma Instituição em Minas Gerais</t>
  </si>
  <si>
    <t>Edivaldo Souza and Paula Gibrim and Luiz Abrantes and Julio Reis</t>
  </si>
  <si>
    <t>13--25</t>
  </si>
  <si>
    <t>10.5753/wei.2026.22490</t>
  </si>
  <si>
    <t>https://sol.sbc.org.br/index.php/wei/article/view/43089</t>
  </si>
  <si>
    <t>Predição de Evasão por meio de um Instrumento Sistemático de Avaliação Institucional</t>
  </si>
  <si>
    <t>Ronei Oliveira and Francisco Medeiros and Kamila Alves</t>
  </si>
  <si>
    <t>118--127</t>
  </si>
  <si>
    <t>10.5753/wapla.2023.236179</t>
  </si>
  <si>
    <t>https://sol.sbc.org.br/index.php/wapla/article/view/26135</t>
  </si>
  <si>
    <t>AI-Based Student Performance Prediction using Machine Learning Techniques</t>
  </si>
  <si>
    <t>Nagrale, Akshit and Karande, Aarti</t>
  </si>
  <si>
    <t>GSEACT 2026 - 2026 IEEE Global Symposium on Emerging and Communication Technologies</t>
  </si>
  <si>
    <t>10.1109/GSEACT68539.2026.11620534</t>
  </si>
  <si>
    <t>https://www.scopus.com/inward/record.uri?eid=2-s2.0-105047906530&amp;doi=10.1109%2fGSEACT68539.2026.11620534&amp;partnerID=40&amp;md5=7871333d443cf1f829c0c36dc063c5bb</t>
  </si>
  <si>
    <t>Evaluation of a specialist agent in Game Learning Analytics by learning designers: a case study</t>
  </si>
  <si>
    <t>Fabrizio Honda and Marcela Pessoa and Elaine Harada and Fernanda Pires</t>
  </si>
  <si>
    <t>1362--1376</t>
  </si>
  <si>
    <t>10.5753/sbie.2025.12894</t>
  </si>
  <si>
    <t>https://sol.sbc.org.br/index.php/sbie/article/view/38508</t>
  </si>
  <si>
    <t>Technical and tactical factors of an educational platform aiming to deal with a large number of students and inequalities when teaching programming for STEM students</t>
  </si>
  <si>
    <t>Xará, Gabriel and A. D. M. Delgado, Carla and M. de Farias, Claudio and Folloni Guarilha, Hugo and O. Moraes, Laura and Freire, João Pedro and Nogueira Teixeira, Eldânae</t>
  </si>
  <si>
    <t>80–105</t>
  </si>
  <si>
    <t>33</t>
  </si>
  <si>
    <t>10.5753/rbie.2025.4479</t>
  </si>
  <si>
    <t>https://journals-sol.sbc.org.br/index.php/rbie/article/view/4479</t>
  </si>
  <si>
    <t>Leveraging graph neural network for learner performance prediction</t>
  </si>
  <si>
    <t>Hakkal, Soukaina and Lahcen, Ayoub Ait</t>
  </si>
  <si>
    <t>Expert Systems with Applications</t>
  </si>
  <si>
    <t>293</t>
  </si>
  <si>
    <t>Learner performance prediction involves analyzing historical learner interactions within educational systems to forecast future success. Educational data mining models are increasingly used to personalize learning experiences. Recently, Graph Neural Netwo</t>
  </si>
  <si>
    <t>10.1016/j.eswa.2025.128724</t>
  </si>
  <si>
    <t>https://www.scopus.com/pages/publications/105008932391?origin=resultslist</t>
  </si>
  <si>
    <t>Educational data mining; Ensemble models; Graph Neural Networks; Learner performance prediction; LightGBM; XGBoost</t>
  </si>
  <si>
    <t>Computer aided instruction; Graph embeddings; Graph neural networks; Graphic methods; Knowledge graph; Knowledge management; Data mining models; Educational data mining; Educational systems; Ensemble models; Graph neural networks; Learner interaction; Lea</t>
  </si>
  <si>
    <t>09574174</t>
  </si>
  <si>
    <t>Cited by: 13</t>
  </si>
  <si>
    <t>Investigating Demographic Features and their Connection to Performance, Predictions, and Fairness in EDM Models</t>
  </si>
  <si>
    <t>Cohausz, Lea and Tschalzev, Andrej and Bartelt, Christian and Stuckenschmidt, Heiner</t>
  </si>
  <si>
    <t>Journal of Educational Data Mining</t>
  </si>
  <si>
    <t>177 - 213</t>
  </si>
  <si>
    <t>16</t>
  </si>
  <si>
    <t>Although using demographic features for predictive models in Educational Data Mining (EDM) has to be considered very problematic from a fairness point of view and is currently critically discussed in the field, they are, in practice, frequently used witho</t>
  </si>
  <si>
    <t>10.5281/zenodo.14503515</t>
  </si>
  <si>
    <t>https://www.scopus.com/pages/publications/105018613693?origin=resultslist</t>
  </si>
  <si>
    <t>algorithmic bias; at-risk prediction; demographic features; fairness; sensitive features</t>
  </si>
  <si>
    <t>International Educational Data Mining Society</t>
  </si>
  <si>
    <t>21572100</t>
  </si>
  <si>
    <t>Cited by: 2</t>
  </si>
  <si>
    <t>Few Adjustable Parameters Prediction Model Based on Lightweight Prefix-Tuning: Learning Session Dropout Prediction Model Based on Parameter-Efficient Prefix-Tuning</t>
  </si>
  <si>
    <t>Lu, Yuantong and Wang, Zhanquan</t>
  </si>
  <si>
    <t>Applied Sciences (Switzerland)</t>
  </si>
  <si>
    <t>Featured Application: This work can be applied to an online education platform to predict students’ current learning states. In response to the challenge of low predictive accuracy in scenarios with limited data, we propose a few adjustable parameters pre</t>
  </si>
  <si>
    <t>10.3390/app142310772</t>
  </si>
  <si>
    <t>https://www.scopus.com/pages/publications/85211763908?origin=resultslist</t>
  </si>
  <si>
    <t>datamining; learning session dropout prediction; limited data scenario; prefix-tuning; smart education</t>
  </si>
  <si>
    <t>Contrastive Learning; Vectors; Adjustable parameters; Datamining; Learning session dropout prediction; Learning sessions; Limited data; Limited data scenario; Model-based OPC; Prediction modelling; Prefix-tuning; Smart education; Prediction models</t>
  </si>
  <si>
    <t>Multidisciplinary Digital Publishing Institute (MDPI)</t>
  </si>
  <si>
    <t>20763417</t>
  </si>
  <si>
    <t>Cited by: 0; All Open Access; Gold Open Access; Green Open Access</t>
  </si>
  <si>
    <t>GPAformer: A Transformer-Based Framework for Predictive Academic Performance Modeling and Real-Time Intervention in Undergraduate education</t>
  </si>
  <si>
    <t>Wan, Mai</t>
  </si>
  <si>
    <t>ACM Digital Library</t>
  </si>
  <si>
    <t>511–516</t>
  </si>
  <si>
    <t>The predictive analytics of academic performance are a cornerstone of educational data mining, crucial for identifying at-risk students and enabling timely supportive interventions. While traditional models have been widely applied, they often struggle to</t>
  </si>
  <si>
    <t>10.1145/3775073.3775153</t>
  </si>
  <si>
    <t>https://doi.org/10.1145/3775073.3775153</t>
  </si>
  <si>
    <t>Data-driven, Grade point average, Student support, Transformer</t>
  </si>
  <si>
    <t>Association for Computing Machinery</t>
  </si>
  <si>
    <t>Leveraging machine learning and clickstream data to improve student performance prediction in virtual learning environments</t>
  </si>
  <si>
    <t>Khoudi, Zakaria and Hafidi, Nasreddine and Nachaoui, Mourad and Lyaqini, Soufiane</t>
  </si>
  <si>
    <t>Information Discovery and Delivery</t>
  </si>
  <si>
    <t>197 - 217</t>
  </si>
  <si>
    <t>54</t>
  </si>
  <si>
    <t>Purpose – The purpose of this research is to evaluate the utility of clickstream data and machine learning algorithms in predicting student performance and enhancing online learning experiences. By leveraging clickstream data and machine learning algorith</t>
  </si>
  <si>
    <t>10.1108/IDD-08-2024-0120</t>
  </si>
  <si>
    <t>https://www.scopus.com/pages/publications/86000584685?origin=resultslist</t>
  </si>
  <si>
    <t>Clickstream data; GRU algorithm; Machine learning; Student performance prediction; Students at risk; VIF; Virtual learning environment</t>
  </si>
  <si>
    <t>Emerald Publishing</t>
  </si>
  <si>
    <t>23986247</t>
  </si>
  <si>
    <t>Cited by: 4</t>
  </si>
  <si>
    <t>Difficult Questions Test True Level: A KAN-Based Difficulty-Aware Knowledge Tracing</t>
  </si>
  <si>
    <t>Xiong, Linglong and Cui, Shaoguo and Wang, Mingyang and Xu, Song</t>
  </si>
  <si>
    <t>Lecture Notes in Computer Science</t>
  </si>
  <si>
    <t>468 - 479</t>
  </si>
  <si>
    <t>15849 LNCS</t>
  </si>
  <si>
    <t>Knowledge tracing is an important research area in educational data mining. It focuses on using students' historical interactions to dynamically model students' knowledge state and predict their performance in future exercises. Traditional methods usually</t>
  </si>
  <si>
    <t>10.1007/978-981-96-9881-3_39</t>
  </si>
  <si>
    <t>https://www.scopus.com/pages/publications/105013046574?origin=resultslist</t>
  </si>
  <si>
    <t>Difficulty-Aware; Knowledge Tracing; Kolmogorov-Arnold Networks</t>
  </si>
  <si>
    <t>Knowledge management; Concept levels; Difficulty-aware; It focus; Knowledge state; Knowledge tracings; Kolmogorov; Kolmogorov-arnold network; Performance; Research areas; Student knowledge; Students</t>
  </si>
  <si>
    <t>Springer Science and Business Media Deutschland GmbH</t>
  </si>
  <si>
    <t>03029743</t>
  </si>
  <si>
    <t>Cited by: 1</t>
  </si>
  <si>
    <t>Virtual chemical laboratories: A systematic literature review of research, technologies and instructional design</t>
  </si>
  <si>
    <t>Chan, Philippe and Van Gerven, Tom and Dubois, Jean-Luc and Bernaerts, Kristel</t>
  </si>
  <si>
    <t>Computers and Education Open</t>
  </si>
  <si>
    <t>2</t>
  </si>
  <si>
    <t xml:space="preserve">Practical laboratory courses are an essential part of chemistry education. However, they can be costly and time-consuming. They also require physical presence of the teacher and students and access to well-equipped laboratories, which can be hindered due </t>
  </si>
  <si>
    <t>10.1016/j.caeo.2021.100053</t>
  </si>
  <si>
    <t>https://www.scopus.com/pages/publications/85124017940?origin=resultslist</t>
  </si>
  <si>
    <t>Chemistry; Distance education and online learning; Media in education; Virtual laboratory; Virtual reality</t>
  </si>
  <si>
    <t>26665573</t>
  </si>
  <si>
    <t>Cited by: 128; All Open Access; Gold Open Access; Green Open Access</t>
  </si>
  <si>
    <t>A systematic review of interactive tools and methodologies for enhancing database normalization learning and teaching</t>
  </si>
  <si>
    <t>Al-Bakri, Aisha Hasan and Azzuhri, Saaidal Razalli Bin and Al-Andoli, Mohammed Nasser and Rahmalan, Hidayah</t>
  </si>
  <si>
    <t>Cluster Computing</t>
  </si>
  <si>
    <t>Normalization of databases is key to maintaining data integrity and reducing redundancy. However, students and novice designers often have trouble under- standing its abstract and procedural concepts. A few Interactive tools and methodologies have been de</t>
  </si>
  <si>
    <t>10.1007/s10586-026-06166-x</t>
  </si>
  <si>
    <t>https://www.scopus.com/pages/publications/105041857807?origin=resultslist</t>
  </si>
  <si>
    <t>Data integrity; Database normalization; Interactive learning in databases; Normalization process</t>
  </si>
  <si>
    <t>Data integrity; Educational technology; Learning systems; Data integrity; Database normalizations; Interactive learning; Interactive learning in database; Interactive tool; Learning and teachings; Normalisation; Normalization process; Novice designers; Sy</t>
  </si>
  <si>
    <t>Springer</t>
  </si>
  <si>
    <t>13867857</t>
  </si>
  <si>
    <t>Cited by: 0; All Open Access; Hybrid Gold Open Access</t>
  </si>
  <si>
    <t>Artificial intelligence based early warnings and intervention models for student's success in institutions of higher learning: A review</t>
  </si>
  <si>
    <t>Madahana, Milka C.I. and Marakalala, Mmatlou and Ekoru, John E.D.</t>
  </si>
  <si>
    <t>2025 IEEE 6th Annual World AI IoT Congress, AIIoT 2025</t>
  </si>
  <si>
    <t>372 - 377</t>
  </si>
  <si>
    <t>Ensuring student success in higher education institutions is paramount for both individual development and societal advancement. However, traditional methods for identifying and supporting at-risk students often lack the precision and timeliness necessary</t>
  </si>
  <si>
    <t>10.1109/AIIoT65859.2025.11105264</t>
  </si>
  <si>
    <t>https://www.scopus.com/pages/publications/105015428075?origin=resultslist</t>
  </si>
  <si>
    <t>Artificial Intelligence; At risk students; Early warning systems; Higher academic learning; Machine Learning; Predictive modelling</t>
  </si>
  <si>
    <t xml:space="preserve">Bibliographic retrieval systems; Education computing; Engineering education; Learning algorithms; Machine learning; Risk assessment; At risk student; Early intervention; Early Warning System; Early-warning models; High academic learning; Higher learning; </t>
  </si>
  <si>
    <t>AI-based learning style detection in adaptive learning systems: a systematic literature review</t>
  </si>
  <si>
    <t>Ezzaim, Aymane and Dahbi, Aziz and Aqqal, Abdelhak and Haidine, Abdelfatteh</t>
  </si>
  <si>
    <t>Journal of Computers in Education</t>
  </si>
  <si>
    <t>731 - 769</t>
  </si>
  <si>
    <t>12</t>
  </si>
  <si>
    <t>The integration of AI in education, particularly in adaptive learning, emphasizes the critical need for automatic detection of individual learning styles. Traditional methods such as tests or questionnaires, though reliable, face challenges including stud</t>
  </si>
  <si>
    <t>10.1007/s40692-024-00328-9</t>
  </si>
  <si>
    <t>https://www.scopus.com/pages/publications/85197855287?origin=resultslist</t>
  </si>
  <si>
    <t>Adaptive learning; Artificial intelligence; Education; Leaning styles; Learning style prediction; Machine learning</t>
  </si>
  <si>
    <t>21979987</t>
  </si>
  <si>
    <t>Cited by: 82</t>
  </si>
  <si>
    <t>Toward Artificial Intelligence-Human Paired Programming: A Review of the Educational Applications and Research on Artificial Intelligence Code-Generation Tools</t>
  </si>
  <si>
    <t>Liu, Jiangyue and Li, Siran</t>
  </si>
  <si>
    <t>Journal of Educational Computing Research</t>
  </si>
  <si>
    <t>1385 - 1415</t>
  </si>
  <si>
    <t>62</t>
  </si>
  <si>
    <t>Pair Programming is considered an effective approach to programming education, but the synchronous collaboration of two programmers involves complex coordination, making this method difficult to be widely adopted in educational settings. Artificial Intell</t>
  </si>
  <si>
    <t>10.1177/07356331241240460</t>
  </si>
  <si>
    <t>https://www.scopus.com/pages/publications/85189829711?origin=resultslist</t>
  </si>
  <si>
    <t>code-generation tools; educational applications; ethical issues; pair programming; underlying technology</t>
  </si>
  <si>
    <t>SAGE Publications Inc.</t>
  </si>
  <si>
    <t>07356331</t>
  </si>
  <si>
    <t>Cited by: 32</t>
  </si>
  <si>
    <t>The role of GPT in promoting inclusive higher education for people with various learning disabilities: a review</t>
  </si>
  <si>
    <t>Gadekallu, Thippa Reddy and Yenduri, Gokul and Kaluri, Rajesh and Rajput, Dharmendra Singh and Lakshmanna, Kuruva and Fang, Kai and Chen, Junxin and Wang, Wei</t>
  </si>
  <si>
    <t>PeerJ Computer Science</t>
  </si>
  <si>
    <t>11</t>
  </si>
  <si>
    <t xml:space="preserve">The generative pre-trained transformer (GPT) is a notable breakthrough in the field of artificial intelligence, as it empowers machines to effectively comprehend and engage in interactions with humans. The GPT exhibits the capacity to enhance inclusivity </t>
  </si>
  <si>
    <t>10.7717/PEERJ-CS.2400</t>
  </si>
  <si>
    <t>https://www.scopus.com/pages/publications/85219222099?origin=resultslist</t>
  </si>
  <si>
    <t>Generative pre-trained transformer; Higher education</t>
  </si>
  <si>
    <t>Adversarial machine learning; Federated learning; Students; Comprehensive analysis; Diverse solutions; Generative pre-trained transformer; High educations; Learning disabilities; Policy makers; Contrastive Learning</t>
  </si>
  <si>
    <t>PeerJ Inc.</t>
  </si>
  <si>
    <t>23765992</t>
  </si>
  <si>
    <t>Cited by: 24; All Open Access; Gold Open Access; Green Open Access</t>
  </si>
  <si>
    <t>Hybrid Machine Learning Approach for Classification and Recommendation of EDM</t>
  </si>
  <si>
    <t>Khasne, Mukul V and Arjariya, Tripti</t>
  </si>
  <si>
    <t>International Conference on Intelligent and Innovative Practices in Engineering and Management, IIPEM 2025</t>
  </si>
  <si>
    <t>A crucial area for analysing enormous volumes of student data to find significant trends and insights that improve learning outcomes is educational data mining, or EDM. Complex, high-dimensional, and varied educational datasets are difficult for tradition</t>
  </si>
  <si>
    <t>10.1109/IIPEM65914.2025.11548244</t>
  </si>
  <si>
    <t>https://www.scopus.com/pages/publications/105042486017?origin=resultslist</t>
  </si>
  <si>
    <t>Classification and Recommendation; Deep Learning in Education; EDM; Hybrid Machine Learning; Personalized Learning Systems; Student Performance Prediction</t>
  </si>
  <si>
    <t>Classification (of information); Collaborative learning; Computer aided instruction; Data mining; Decision making; Deep learning; Education computing; Federated learning; Hybrid materials; Intelligent systems; Learning algorithms; Learning systems; Recomm</t>
  </si>
  <si>
    <t>A Well Structured Strategy Development via AI Integrated Analytics Systems to Improve Performance of Education</t>
  </si>
  <si>
    <t>Murwaningsih, Tri and Sasmini and Rahardjo, Setyo Sri and Suwandi, Sarwiji and Saddhono, Kundharu and Nurhasanah, Farida</t>
  </si>
  <si>
    <t>2024 4th International Conference on Advance Computing and Innovative Technologies in Engineering, ICACITE 2024</t>
  </si>
  <si>
    <t>873 - 878</t>
  </si>
  <si>
    <t>Perhaps the two goals that have been most emphatically underscored within the changed landscape of higher education include personalized education and the optimization of student outcomes. Artificial intelligence (AI) thus comes on the horizon as a more d</t>
  </si>
  <si>
    <t>10.1109/ICACITE60783.2024.10617260</t>
  </si>
  <si>
    <t>https://www.scopus.com/pages/publications/85201820429?origin=resultslist</t>
  </si>
  <si>
    <t>AI-driven learning analytics; artificial intelligence; higher education; intervention effectiveness; optimization; pedagogical enhancement; personalized education; predictive analytics; student performance prediction; universities</t>
  </si>
  <si>
    <t>Adversarial machine learning; Predictive analytics; Artificial intelligence-driven learning analytic; High educations; Intervention effectiveness; Optimisations; Pedagogical enhancement; Performance prediction; Personalized education; Student performance;</t>
  </si>
  <si>
    <t>Cited by: 5</t>
  </si>
  <si>
    <t>CodeNest: A Web Application for Conducting and Managing Timed Coding Lab Assignments with Student-Faculty Interaction</t>
  </si>
  <si>
    <t>Bhatlawande, Shripad and Deshmukh, Vaishnavi and Date, Ameya and Deshpande, Prutha</t>
  </si>
  <si>
    <t>2025 IEEE International Conference on Emerging Trends in Computing and Communication, ETCOM 2025</t>
  </si>
  <si>
    <t>The web-based application is a cloud-integrated platform that transforms programming education by addressing learning effectiveness and academic integrity challenges in virtual environments. Built on Firebase and Streamlit, the system features secure auth</t>
  </si>
  <si>
    <t>10.1109/ETCOM66606.2025.11436475</t>
  </si>
  <si>
    <t>https://www.scopus.com/pages/publications/105037327272?origin=resultslist</t>
  </si>
  <si>
    <t>Coding lab; Online assessment; Smart lab assistant; Virtual Lab</t>
  </si>
  <si>
    <t>Artificial intelligence; Authentication; Cloud computing; Cloud platforms; Computer aided instruction; E-learning; Education computing; Engineering education; Students; Teaching; Virtual reality; Web services; Coding lab; Integrated platform; On-line asse</t>
  </si>
  <si>
    <t>The Impact of AI-Based-Mathway Software on Obtaining the Concepts of Quadratic Equations and the Mathematical Self-Concept among Tenth-Grade Female Students</t>
  </si>
  <si>
    <t>Shirawia, Nawal H. and Tashtoush, Mohammad A. and Khasawneh, Mohamad A.</t>
  </si>
  <si>
    <t>International Journal of Information and Education Technology</t>
  </si>
  <si>
    <t>1267 - 1277</t>
  </si>
  <si>
    <t>This investigation examines the impact of teaching with Artificial Intelligence (AI)-based math software on the understanding of quadratic equations and the mathematical self-concept among tenth-grade female students. The study implemented the quasi-exper</t>
  </si>
  <si>
    <t>10.18178/ijiet.2026.16.5.2595</t>
  </si>
  <si>
    <t>https://www.scopus.com/pages/publications/105038754807?origin=resultslist</t>
  </si>
  <si>
    <t>Artificial Intelligence (AI)-powered software; education; learning mathematics; Mathway; self-concept</t>
  </si>
  <si>
    <t>20103689</t>
  </si>
  <si>
    <t>Cited by: 1; All Open Access; Gold Open Access</t>
  </si>
  <si>
    <t>Personalized Learning Strategies Based on Convolutional Knowledge Tracking Models in the Context of Disciplinary Knowledge Graphs</t>
  </si>
  <si>
    <t>Xu, Yimei and Zhang, Chen and Hu, Xing and Hu, Xiangben and Xu, Meiya</t>
  </si>
  <si>
    <t>IEIR 2025 - Proceedings of the 4th International Conference on Intelligent Education and Intelligent Research</t>
  </si>
  <si>
    <t>Traditional learning strategies in computer science education struggle to precisely address students' dynamic learning needs, resulting in fragmented knowledge acquisition and inefficient learning path planning. To address this challenge, this paper propo</t>
  </si>
  <si>
    <t>10.1109/IEIR67391.2025.11491330</t>
  </si>
  <si>
    <t>https://www.scopus.com/pages/publications/105038617576?origin=resultslist</t>
  </si>
  <si>
    <t>Convolutional Knowledg E Tracking Model; Knowledge Tracking; Personalized Learning Strategies; Subject Knowledge Graph</t>
  </si>
  <si>
    <t>Computer networks; Convolutional neural networks; Education computing; Engineering education; Knowledge acquisition; Knowledge graph; Knowledge organization; Knowledge transfer; Learning systems; Students; Convolutional knowledg E tracking model; Knowledg</t>
  </si>
  <si>
    <t>Adaptive Weighted Fuzzy Clustering Framework for Evaluation of Student's Practical Ability in Higher Education</t>
  </si>
  <si>
    <t>Liu, Na</t>
  </si>
  <si>
    <t>4th International Conference on Integrated Circuits and Communication Systems, ICICACS 2026</t>
  </si>
  <si>
    <t>In this fast growing era, student evaluations of their ability to do practical work are becoming increasingly important in higher education due to a greater need for hands-on skills and graduated students who are ready for work. The traditional methods of</t>
  </si>
  <si>
    <t>10.1109/ICICACS68679.2026.11578761</t>
  </si>
  <si>
    <t>https://www.scopus.com/pages/publications/105044482053?origin=resultslist</t>
  </si>
  <si>
    <t>adaptive feature weighting; clustering algorithm; educational data mining; practical ability index; student performance analysis; student skill assessment; weighted fuzzy c-means</t>
  </si>
  <si>
    <t>Cluster analysis; Education computing; Fuzzy clustering; Information management; Learning systems; Students; Adaptive feature weighting; Adaptive features; Clusterings; Educational data mining; Feature weighting; Practical ability index; Skill assessment;</t>
  </si>
  <si>
    <t>Development of Academic Advising Agents for Study Plan Recommender System Using Forward Chaining Algorithms</t>
  </si>
  <si>
    <t>Claour, Julius P. and Laciste, May Anne O. and Lagman, Ace C. and Tano, Isagani and Mababa, Jonilo and Cabrera, Jovy Jay and Pulumbarit, Jaime and Victoriano, Jayson</t>
  </si>
  <si>
    <t>2026 IEEE International Conference on Automatic Control and Intelligent Systems, I2CACIS 2026 - Conference Proceedings</t>
  </si>
  <si>
    <t>336 - 341</t>
  </si>
  <si>
    <t>Academic advising is essential for student success, yet traditional methods often struggle to address complex academic conditions such as irregular enrollment, prerequisite constraints, and limited course availability. This study proposes an Intelligent-B</t>
  </si>
  <si>
    <t>10.1109/I2CACIS69435.2026.11600282</t>
  </si>
  <si>
    <t>https://www.scopus.com/pages/publications/105045826303?origin=resultslist</t>
  </si>
  <si>
    <t>analytics; forward-chaining; higher education; modelling; regression; student advising</t>
  </si>
  <si>
    <t>Curricula; Decision making; Education computing; ISO Standards; Optimization; Recommender systems; Students; Academic advising; Analytic; Forward-chaining; High educations; ISO/IEC; Modeling; Regression; Student advising; Student success; Study plans; Dec</t>
  </si>
  <si>
    <t>Bridging ancient wisdom and cognitive engagement: a comparative study of chatbot-based moral instruction</t>
  </si>
  <si>
    <t>Chauhan, Sakshi and Dutt, Varun</t>
  </si>
  <si>
    <t>Frontiers in Robotics and AI</t>
  </si>
  <si>
    <t>13</t>
  </si>
  <si>
    <t>Convincing learners to engage deeply with complex moral and philosophical concepts remains a major challenge in contemporary learning environments, particularly within increasingly digital educational settings. Although conversational AI offers new possib</t>
  </si>
  <si>
    <t>10.3389/frobt.2026.1739259</t>
  </si>
  <si>
    <t>https://www.scopus.com/pages/publications/105040757495?origin=resultslist</t>
  </si>
  <si>
    <t>chatbot-based learning; cognitive engagement; conversational AI; electroencephalography (EEG); heart rate variability (HRV); moral education</t>
  </si>
  <si>
    <t>Frontiers Media SA</t>
  </si>
  <si>
    <t>22969144</t>
  </si>
  <si>
    <t>Studies where student academic health assessment is conducted exclusively through manual or non-automated methods</t>
  </si>
  <si>
    <t>Augmenting Knowledge Tracing: Personalized Modeling by Considering Forgetting Behavior in Learning Process</t>
  </si>
  <si>
    <t>Yang, Hongxin and Du, Yuefeng and Liu, Tingting and Ding, Linlin</t>
  </si>
  <si>
    <t>Communications in Computer and Information Science</t>
  </si>
  <si>
    <t>115 - 122</t>
  </si>
  <si>
    <t>2246</t>
  </si>
  <si>
    <t>With the development of internet online education system, knowledge tracking (KT) is becoming more and more widely used. This technology can accurately model students’ learning process, so as to provide students with a personalized knowledge push. However</t>
  </si>
  <si>
    <t>10.1007/978-981-96-0055-7_10</t>
  </si>
  <si>
    <t>https://www.scopus.com/pages/publications/85218498442?origin=resultslist</t>
  </si>
  <si>
    <t>augmenting knowledge tracing; concept-wised percent correct; individualized forgetting rate; knowledge tracking</t>
  </si>
  <si>
    <t xml:space="preserve">Adversarial machine learning; Federated learning; Self-supervised learning; Augmenting knowledge tracing; Concept-wised percent correct; Individualized forgetting rate; Knowledge tracings; Knowledge tracking; Learning abilities; Learning process; On-line </t>
  </si>
  <si>
    <t>18650929</t>
  </si>
  <si>
    <t>Academic Performance Prediction Models Based on Multi-Head Attention LSTM Mechanisms</t>
  </si>
  <si>
    <t>Zhou, Shiyuan</t>
  </si>
  <si>
    <t>HighTech and Innovation Journal</t>
  </si>
  <si>
    <t>250 - 264</t>
  </si>
  <si>
    <t>7</t>
  </si>
  <si>
    <t xml:space="preserve">This study focuses on accurately predicting student academic performance to support personalized teaching and optimize educational resource allocation. Addressing the limitations of traditional prediction methods in handling long-term dependencies within </t>
  </si>
  <si>
    <t>10.28991/HIJ-2026-07-01-016</t>
  </si>
  <si>
    <t>https://www.scopus.com/pages/publications/105033481966?origin=resultslist</t>
  </si>
  <si>
    <t>Academic Performance Prediction; Big Data Mining; Multi-Head Attention; Network of Long Short-Term Memory</t>
  </si>
  <si>
    <t>Big data; Data accuracy; Data handling; Data mining; Forecasting; Prediction models; Academic performance; Academic performance prediction; Attention mechanisms; Big data mining; Model-based OPC; Multi-head attention; Network of long short-term memory; Pe</t>
  </si>
  <si>
    <t>Ital Publication</t>
  </si>
  <si>
    <t>27239535</t>
  </si>
  <si>
    <t>Cited by: 0; All Open Access; Gold Open Access</t>
  </si>
  <si>
    <t>Counterfactual Monotonic Knowledge Tracing for Assessing Students' Dynamic Mastery of Knowledge Concepts</t>
  </si>
  <si>
    <t>Zhang, Moyu and Zhu, Xinning and Zhang, Chunhong and Qian, Wenchen and Pan, Feng and Zhao, Hui</t>
  </si>
  <si>
    <t>3236–3246</t>
  </si>
  <si>
    <t>As the core of the Knowledge Tracking (KT) task, assessing students' dynamic mastery of knowledge concepts is crucial for both offline teaching and online educational applications. Since students' mastery of knowledge concepts is often unlabeled, existing</t>
  </si>
  <si>
    <t>10.1145/3583780.3614827</t>
  </si>
  <si>
    <t>https://doi.org/10.1145/3583780.3614827</t>
  </si>
  <si>
    <t>counterfactual monotonicity, educational data mining, knowledge tracing, students' dynamic mastery of concepts</t>
  </si>
  <si>
    <t>A novel transfer learning approach to predict student performance based on CNN-GWO</t>
  </si>
  <si>
    <t>Song, Jifeng and Yin, Shi</t>
  </si>
  <si>
    <t>2022 IEEE International Conference on Artificial Intelligence and Computer Applications, ICAICA 2022</t>
  </si>
  <si>
    <t>100 - 105</t>
  </si>
  <si>
    <t xml:space="preserve">Educational data mining (EDM), which assists educators to gain the features from related student information, has made it possible that the performance of students can be efficiently predicted. However, traditional approaches usually just focus on how to </t>
  </si>
  <si>
    <t>10.1109/ICAICA54878.2022.9844432</t>
  </si>
  <si>
    <t>https://www.scopus.com/pages/publications/85136613692?origin=resultslist</t>
  </si>
  <si>
    <t>CNN; Grey Wolf Optimizer; neural network; student performance prediction; transfer learning</t>
  </si>
  <si>
    <t>Convolutional neural networks; Data mining; Forecasting; Learning systems; Gray wolf optimizer; Gray wolves; Learning approach; Neural-networks; Optimizers; Performance based; Performance prediction; Student performance; Student performance prediction; Tr</t>
  </si>
  <si>
    <t>Evolutionary Features for Mitigating Cold Starts in Logistic Knowledge Tracing</t>
  </si>
  <si>
    <t>Pavlik, Philip I. and Eglington, Luke G.</t>
  </si>
  <si>
    <t>Proceedings of the International Conference on Educational Data Mining</t>
  </si>
  <si>
    <t>403 - 409</t>
  </si>
  <si>
    <t>In educational systems, predictive models face significant challenges during initial deployment and when new students begin to use them or when new exercises are added to the system due to a lack of data for making initial inferences, often called the col</t>
  </si>
  <si>
    <t>10.5281/zenodo.15870270</t>
  </si>
  <si>
    <t>https://www.scopus.com/pages/publications/105023312013?origin=resultslist</t>
  </si>
  <si>
    <t>cold start problem; knowledge tracing; Logistic Knowledge Tracing; student modeling</t>
  </si>
  <si>
    <t>29602866</t>
  </si>
  <si>
    <t>The importance of efficiency analysis for improving public services: Editorial to the special issue on “Efficiency and productivity analysis of public services in practice”</t>
  </si>
  <si>
    <t>De Witte, Kristof and de la Torre, Eva M. and Sicilia, Gabriela and Agasisti, Tommaso</t>
  </si>
  <si>
    <t>International Transactions in Operational Research</t>
  </si>
  <si>
    <t>2443 - 2452</t>
  </si>
  <si>
    <t xml:space="preserve">Public services around the world face growing demands, limited budgets, and changing populations. As a result, analyzing efficiency is more important than ever. Techniques like data envelopment analysis, stochastic frontier analysis, and machine learning </t>
  </si>
  <si>
    <t>10.1111/itor.70009</t>
  </si>
  <si>
    <t>https://www.scopus.com/pages/publications/105002264767?origin=resultslist</t>
  </si>
  <si>
    <t>education; efficiency analysis; public services</t>
  </si>
  <si>
    <t>Budget control; Data quality; 'current; Data envelopment; Efficiency analysis; Efficiency factor; Growing demand; Machine learning techniques; Productivity analysis; Public services; Real-estates; Stochastic frontier analysis; Stochastic systems</t>
  </si>
  <si>
    <t>John Wiley and Sons Inc</t>
  </si>
  <si>
    <t>09696016</t>
  </si>
  <si>
    <t>Cited by: 4; All Open Access; Green Open Access; Hybrid Gold Open Access</t>
  </si>
  <si>
    <t>Hybrid Artificial Intelligence Models Incorporating Neutrosophy for Predicting Student Outcomes</t>
  </si>
  <si>
    <t>Son, N.T.K. and Dat, B.V. and Hoa, N.H. and Trang, H.T.T.</t>
  </si>
  <si>
    <t>Lecture Notes in Networks and Systems</t>
  </si>
  <si>
    <t>189 - 201</t>
  </si>
  <si>
    <t>1689 LNNS</t>
  </si>
  <si>
    <t xml:space="preserve">This study introduces a hybrid predictive architecture grounded in the neutrosophic framework, aimed at enhancing the accuracy of student learning outcome predictions. The proposed approach addresses challenges related to data uncertainty, indeterminacy, </t>
  </si>
  <si>
    <t>10.1007/978-3-032-08384-5_16</t>
  </si>
  <si>
    <t>https://www.scopus.com/pages/publications/105021008798?origin=resultslist</t>
  </si>
  <si>
    <t>CTGAN; Deep Learning; Indeter-minacy; Neutrosophy; Student Outcome Prediction; Transformer</t>
  </si>
  <si>
    <t>Forecasting; Prediction models; Students; CTGAN; Deep learning; Hybrid artificial intelligences; Indeter-minacy; Intelligence models; Neutrosophy; Outcome prediction; Student outcome prediction; Student outcomes; Transformer; Deep learning</t>
  </si>
  <si>
    <t>23673370</t>
  </si>
  <si>
    <t>Data Every Day: Designing and Living with Personal Situated Visualizations</t>
  </si>
  <si>
    <t>Bressa, Nathalie and Vermeulen, Jo and Willett, Wesley</t>
  </si>
  <si>
    <t>Conference on Human Factors in Computing Systems - Proceedings</t>
  </si>
  <si>
    <t>We explore the design and utility of situated manual self-tracking visualizations on dedicated displays that integrate data tracking into existing practices and physical environments. Situating self-tracking tools in relevant locations is a promising appr</t>
  </si>
  <si>
    <t>10.1145/3491102.3517737</t>
  </si>
  <si>
    <t>https://www.scopus.com/pages/publications/85130572997?origin=resultslist</t>
  </si>
  <si>
    <t>personal data; self-tracking; situated visualization</t>
  </si>
  <si>
    <t>Data visualization; Design; Co-designs; Data-tracking; Design studies; Design-process; Personal devices; Physical environments; Self-tracking; Situated visualization; Tracking application; Tracking devices; Visualization</t>
  </si>
  <si>
    <t>Cited by: 24; All Open Access; Green Open Access</t>
  </si>
  <si>
    <t>Predicting Student Performance on a Novel Moodle Dataset Using GRU Time Series Model</t>
  </si>
  <si>
    <t>Sneiders, Martins and Urtans, Evalds and Abu Saa, Amjed</t>
  </si>
  <si>
    <t>Baltic Journal of Modern Computing</t>
  </si>
  <si>
    <t>885 - 893</t>
  </si>
  <si>
    <t>The prediction of student grades and behavior on online learning platforms is essential for enhancing teaching and learning outcomes. Traditional methods frequently neglect the temporal dynamics inherent in student activity. This study presents a novel Mo</t>
  </si>
  <si>
    <t>10.22364/bjmc.2025.13.4.07</t>
  </si>
  <si>
    <t>https://www.scopus.com/pages/publications/105026506842?origin=resultslist</t>
  </si>
  <si>
    <t>gru; machine learning; moodle; time series</t>
  </si>
  <si>
    <t>University of Latvia</t>
  </si>
  <si>
    <t>22558942</t>
  </si>
  <si>
    <t>Cited by: 2; All Open Access; Gold Open Access</t>
  </si>
  <si>
    <t>Intelligent Analysis of Student Feedback in Post-course Assessment Using a Multiclass Classification Model</t>
  </si>
  <si>
    <t>Veerachamy, Vinothina and George, Augustine and Beulah, Jasmine</t>
  </si>
  <si>
    <t>376 - 387</t>
  </si>
  <si>
    <t>1052 LNNS</t>
  </si>
  <si>
    <t>Student feedback is a powerful tool for educational institutions and educators to assess, improve, and adapt their programs and services to meet the evolving needs of students. Through Post-Course assessment, the success of the training or course is evalu</t>
  </si>
  <si>
    <t>10.1007/978-3-031-64776-5_36</t>
  </si>
  <si>
    <t>https://www.scopus.com/pages/publications/85200687410?origin=resultslist</t>
  </si>
  <si>
    <t>ANN; CNN; Multiclass Classification; Post-course assessment</t>
  </si>
  <si>
    <t>Classification (of information); Curricula; Education computing; Teaching; ANN; Classification models; Course assessment; Course contents; Educational institutions; Intelligent analysis; Multi-class classification; Post-course assessment; Student feedback</t>
  </si>
  <si>
    <t>Identifying Important Knowledge Through Node-Level Concept Network Analysis: Addressing “What to Teach”</t>
  </si>
  <si>
    <t>Cao, Xiang and Wu, Jinshan</t>
  </si>
  <si>
    <t>Systems</t>
  </si>
  <si>
    <t>Not all knowledge is equally important in teaching and learning, yet identifying important knowledge remains a fundamental challenge in curriculum design. Traditional methods rely on expert judgment and lack systematic, reproducible criteria. This study d</t>
  </si>
  <si>
    <t>10.3390/systems13121090</t>
  </si>
  <si>
    <t>https://www.scopus.com/pages/publications/105025935870?origin=resultslist</t>
  </si>
  <si>
    <t>Big Ideas; complex systems; concept network analysis; curriculum design; important knowledge identification; node centrality</t>
  </si>
  <si>
    <t>Curricula; Information analysis; Optimization; Teaching; Big idea; Concept network analyze; Concept networks; Curricula design; Expert judgment; Important knowledge identification; Knowledge identification; Node centrality; Structural feature; Teaching an</t>
  </si>
  <si>
    <t>20798954</t>
  </si>
  <si>
    <t>Cited by: 1; All Open Access; Gold Open Access; Green Open Access</t>
  </si>
  <si>
    <t>The Relationship between Sports Measurement and Evaluation in Physical Education through Intelligent Analysis and Data Mining</t>
  </si>
  <si>
    <t>Sheng, Yazhou</t>
  </si>
  <si>
    <t>International Journal of High Speed Electronics and Systems</t>
  </si>
  <si>
    <t>34</t>
  </si>
  <si>
    <t>This study presents a novel framework for assessing physical education (PE) performance by integrating principal component analysis (PCA) and neural networks (NN). A comprehensive sports measurement system was developed, incorporating diverse indicators s</t>
  </si>
  <si>
    <t>10.1142/S0129156425402955</t>
  </si>
  <si>
    <t>https://www.scopus.com/pages/publications/85219699972?origin=resultslist</t>
  </si>
  <si>
    <t>neural networks; Physical education; principal component analysis; sports measurement; training optimization</t>
  </si>
  <si>
    <t>Adversarial machine learning; Personnel training; Students; Intelligent analysis; Intelligent data; Measurement system; Neural-networks; Objective evaluation; Performance; Physical education; Principal-component analysis; Sport measurement; Training optim</t>
  </si>
  <si>
    <t>World Scientific</t>
  </si>
  <si>
    <t>01291564</t>
  </si>
  <si>
    <t>Cited by: 10; All Open Access; Hybrid Gold Open Access</t>
  </si>
  <si>
    <t>Implementing Convolutional Neural Networks for Career Prediction: A Case Study on Twelfth Grade Students</t>
  </si>
  <si>
    <t>Ashalakshmi, R. and Hemalatha, S.</t>
  </si>
  <si>
    <t>1st International Conference on Emerging Research in Computational Science, ICERCS 2023 - Proceedings</t>
  </si>
  <si>
    <t>In today's fast-paced job market, accurate career prediction models are essential for personalized guidance and efficient hiring processes. This study explores the innovative application of Convolutional Neural Networks (CNNs) to enhance the precision and</t>
  </si>
  <si>
    <t>10.1109/ICERCS57948.2023.10433993</t>
  </si>
  <si>
    <t>https://www.scopus.com/pages/publications/85186732396?origin=resultslist</t>
  </si>
  <si>
    <t>academic performance; aptitude assessment; Career prediction; Convolutional Neural Networks; deep learning; personalized guidance; twelfth-grade students</t>
  </si>
  <si>
    <t>Convolution; Convolutional neural networks; Deep learning; Students; Academic performance; Aptitude assessment; Career prediction; Case-studies; Convolutional neural network; Deep learning; Job market; Personalized guidance; Prediction modelling; Twelfth-</t>
  </si>
  <si>
    <t>Digital Twin Monitoring of Classes and Students</t>
  </si>
  <si>
    <t>Leotlela, Boitumelo and Coetzee, Marijke</t>
  </si>
  <si>
    <t>2024 IST-Africa Conference, IST-Africa 2024</t>
  </si>
  <si>
    <t>Higher education institutions accumulate substantial data, yet their underutilisation for understanding student performance persists. Conventional monitoring methods fall short of effectively capturing the nuances of student performance and class dynamics</t>
  </si>
  <si>
    <t>10.23919/IST-Africa63983.2024.10569389</t>
  </si>
  <si>
    <t>https://www.scopus.com/pages/publications/85198501657?origin=resultslist</t>
  </si>
  <si>
    <t>Digital Twins; Human Digital Twins; Student Performance Monitoring</t>
  </si>
  <si>
    <t>E-learning; Conventional monitoring; Design-science researches; Higher education institutions; Human digital twin; Monitoring approach; Monitoring methods; Research methodologies; Student performance; Student performance monitoring; Technology in educatio</t>
  </si>
  <si>
    <t>Cited by: 3</t>
  </si>
  <si>
    <t>Are you with me? Measurement of learners' video-watching attention with eye tracking</t>
  </si>
  <si>
    <t>Srivastava, Namrata and Nawaz, Sadia and Newn, Joshua and Lodge, Jason and Velloso, Eduardo and Erfani, Sarah M. and Gasevic, Dragan and Bailey, James</t>
  </si>
  <si>
    <t>ACM International Conference Proceeding Series</t>
  </si>
  <si>
    <t>88 - 98</t>
  </si>
  <si>
    <t>Video has become an essential medium for learning. However, there are challenges when using traditional methods to measure how learners attend to lecture videos in video learning analytics, such as difficulty in capturing learners' attention at a fine-gra</t>
  </si>
  <si>
    <t>10.1145/3448139.3448148</t>
  </si>
  <si>
    <t>https://www.scopus.com/pages/publications/85103879105?origin=resultslist</t>
  </si>
  <si>
    <t>Co-attention; Eye-tracking; Gaze direction; Learning analytics; Video lecture</t>
  </si>
  <si>
    <t>Computer applications; Computer programming; Effective learning; Fine grained; Gaze direction; Lecture video; Prior knowledge; Video lectures; Eye tracking</t>
  </si>
  <si>
    <t>Cited by: 29; All Open Access; Green Open Access</t>
  </si>
  <si>
    <t>Application of ChatGPT for automated problem reframing across academic domains</t>
  </si>
  <si>
    <t>Einarsson, Hafsteinn and Lund, Sigrún Helga and Jónsdóttir, Anna Helga</t>
  </si>
  <si>
    <t>Computers and Education: Artificial Intelligence</t>
  </si>
  <si>
    <t>6</t>
  </si>
  <si>
    <t>This paper explores the potential of large language models, specifically ChatGPT, to reframe problems from probability theory and statistics, making them accessible to students across diverse academic fields including biology, economics, law, and engineer</t>
  </si>
  <si>
    <t>10.1016/j.caeai.2023.100194</t>
  </si>
  <si>
    <t>https://www.scopus.com/pages/publications/85180303050?origin=resultslist</t>
  </si>
  <si>
    <t>Artificial intelligence; Interdisciplinary education; Large language models; Personalized learning; Problem reframing</t>
  </si>
  <si>
    <t>Computational linguistics; Economics; Education computing; Engineering education; Learning systems; Academic fields; Economic engineering; Interdisciplinary education; Language model; Large language model; Personalized learning; Probability statistic; Pro</t>
  </si>
  <si>
    <t>Elsevier B.V.</t>
  </si>
  <si>
    <t>2666920X</t>
  </si>
  <si>
    <t>Cited by: 43; All Open Access; Gold Open Access; Green Open Access</t>
  </si>
  <si>
    <t>Integrating Big Data Analytics to Improve English Language Assessment and Feedback Mechanisms</t>
  </si>
  <si>
    <t>Nian, Xiaorui</t>
  </si>
  <si>
    <t>Proceedings of the 2025 IEEE International Conference on Computation, Big-Data and Engineering, ICCBE 2025</t>
  </si>
  <si>
    <t>640 - 643</t>
  </si>
  <si>
    <t>This study aims to integrate big data analytics into English language assessment and feedback mechanisms to address the limitations of traditional methods in personalized and adaptive evaluations. Big data analytics enhances language learning outcomes. Da</t>
  </si>
  <si>
    <t>10.1109/ICCBE65177.2025.11256069</t>
  </si>
  <si>
    <t>https://www.scopus.com/pages/publications/105031068218?origin=resultslist</t>
  </si>
  <si>
    <t>adaptive testing; AI analytics; big data; language assessment; personalized feedback</t>
  </si>
  <si>
    <t>Advanced Analytics; Artificial intelligence; Feedback; Natural language processing systems; Adaptive evaluation; Adaptive testing; AI analytic; Assessment mechanism; Data analytics; English languages; Feedback mechanisms; Language assessment; Personalized</t>
  </si>
  <si>
    <t>Enhancing Badminton Rule Learning Through a GPT-Integrated LINE Bot</t>
  </si>
  <si>
    <t>Lin, Kuo-Chin and Hung, Hui-Chun and Chen, Nian-Shing</t>
  </si>
  <si>
    <t>Journal of Computer Assisted Learning</t>
  </si>
  <si>
    <t>42</t>
  </si>
  <si>
    <t>Background: Over the past 2 years, the Generative Pre-trained Transformer (GPT), a large language model (LLM) developed by OpenAI, has gained significant momentum across various educational fields. However, its application in physical education (PE) for t</t>
  </si>
  <si>
    <t>10.1002/jcal.70231</t>
  </si>
  <si>
    <t>https://www.scopus.com/pages/publications/105032904553?origin=resultslist</t>
  </si>
  <si>
    <t>badminton learning; ChatGPT; LINE Bot; pedagogical AI agent; physical education</t>
  </si>
  <si>
    <t>02664909</t>
  </si>
  <si>
    <t>From Text to Text Game: A Novel RAG Approach to Gamifying Anthropological Literature and Build Thick Games</t>
  </si>
  <si>
    <t>Hoffmann, Michael and Fillies, Jan and Peikert, Silvio and Paschke, Adrian</t>
  </si>
  <si>
    <t>International Conference on Computer Supported Education, CSEDU - Proceedings</t>
  </si>
  <si>
    <t>246 - 256</t>
  </si>
  <si>
    <t>This study introduces a novel approach to gamifying anthropological literature using Large Language Models (LLM), specifically GPT-3.5, to create text-based games. Traditional methods of gamifying specialized literature often require costly game design an</t>
  </si>
  <si>
    <t>10.5220/0013215400003932</t>
  </si>
  <si>
    <t>https://www.scopus.com/pages/publications/105003714453?origin=resultslist</t>
  </si>
  <si>
    <t>AI in Education; Computational Anthropology; Game-Based Learning; Large Language Models (LLMs); Retrieval Augmented Generation (RAG); Text Games</t>
  </si>
  <si>
    <t xml:space="preserve">Economic and social effects; Game design; Gamification; Sociology; AI in education; Computational anthropology; Game design; Game Programming; Game-based Learning; Gold standards; Language model; Large language model; Retrieval augmented generation; Text </t>
  </si>
  <si>
    <t>Science and Technology Publications, Lda</t>
  </si>
  <si>
    <t>21845026</t>
  </si>
  <si>
    <t>Cited by: 3; All Open Access; Gold Open Access</t>
  </si>
  <si>
    <t>An Improved Deep Model for Knowledge Tracing and Question-Difficulty Discovery</t>
  </si>
  <si>
    <t>Dai, Huan and Zhang, Yupei and Yun, Yue and Shang, Xuequn</t>
  </si>
  <si>
    <t>Lecture Notes in Computer Science (including subseries Lecture Notes in Artificial Intelligence and Lecture Notes in Bioinformatics)</t>
  </si>
  <si>
    <t>362 - 375</t>
  </si>
  <si>
    <t>13032 LNAI</t>
  </si>
  <si>
    <t>Knowledge Tracing (KT) aims to analyze a student’s acquisition of skills over time by examining the student’s performance on questions of those skills. In recent years, a recurrent neural network model called deep knowledge tracing (DKT) has been proposed</t>
  </si>
  <si>
    <t>10.1007/978-3-030-89363-7_28</t>
  </si>
  <si>
    <t>https://www.scopus.com/pages/publications/85119362287?origin=resultslist</t>
  </si>
  <si>
    <t>Deep learning; Knowledge tracing; Personalized education; Self-paced learning</t>
  </si>
  <si>
    <t>Education computing; Recurrent neural networks; Deep knowledge; Deep learning; Knowledge tracings; Learn+; Performance; Personalized education; Recurrent neural network model; S state; Self-paced learning; Tracing model; Students</t>
  </si>
  <si>
    <t>Cited by: 7</t>
  </si>
  <si>
    <t>Blended Learning through the “Digital Classes-Morocco” Platform: Effects on Achievement and Retention in Mathematics</t>
  </si>
  <si>
    <t>En-Nhiri, Abdellah and Radi, Mourad and Samdouni, Ayoub and Galai, Mouhsine and Touir, Rachid and Echarghaoui, Rachid and Larhzil, Hayat</t>
  </si>
  <si>
    <t>1924 - 1938</t>
  </si>
  <si>
    <t>15</t>
  </si>
  <si>
    <t>This study explored the impact of blended learning through the platform Digital Classes-Morocco (DCM) on students’ math achievement and knowledge retention. A quasi-experimental research design was employed to investigate the influence of blended learning</t>
  </si>
  <si>
    <t>10.18178/ijiet.2025.15.9.2393</t>
  </si>
  <si>
    <t>https://www.scopus.com/pages/publications/105016886296?origin=resultslist</t>
  </si>
  <si>
    <t>achievement; blended learning; Digital Classes-Morocco (DCM); effect; mathematics; retention; Thales’ theorem</t>
  </si>
  <si>
    <t>AI-Powered Learning Pathways: Personalized Learning and Dynamic Assessments</t>
  </si>
  <si>
    <t>Abrar, Mohammad and Aboraya, Walid and Khaliq, Rawad Abdel and Subramanian, Kabali P. and Husaini, Yousuf Al and Hussaini, Mohammed Al</t>
  </si>
  <si>
    <t>International Journal of Advanced Computer Science and Applications</t>
  </si>
  <si>
    <t>454 - 462</t>
  </si>
  <si>
    <t>Integrating artificial intelligence (AI) in education has introduced innovative approaches, particularly in personalized learning and dynamic assessment. Conventional teaching models often struggle to address learners’ diverse needs and abilities, undersc</t>
  </si>
  <si>
    <t>10.14569/IJACSA.2025.0160145</t>
  </si>
  <si>
    <t>https://www.scopus.com/pages/publications/85216848168?origin=resultslist</t>
  </si>
  <si>
    <t>adaptive learning; AI-powered learning; dynamic assessments; education technology; personalized learning pathways; student engagement</t>
  </si>
  <si>
    <t>Adversarial machine learning; Contrastive Learning; Self-supervised learning; Adaptive learning; Artificial intelligence-powered learning; Dynamic assessment; Education technology; Experimental groups; Learning assessment; Learning pathway; Personalized l</t>
  </si>
  <si>
    <t>Science and Information Organization</t>
  </si>
  <si>
    <t>2158107X</t>
  </si>
  <si>
    <t>Cited by: 28; All Open Access; Gold Open Access; Green Open Access</t>
  </si>
  <si>
    <t>Teacher Readiness and Perceptions Towards AI-Based Smart Teaching Tools</t>
  </si>
  <si>
    <t>Arunfred, N. and Bini Marin, V. and Shenbagaraman, V.M. and Saravanan, P.</t>
  </si>
  <si>
    <t>Frontiers in Artificial Intelligence and Applications</t>
  </si>
  <si>
    <t>138 - 144</t>
  </si>
  <si>
    <t>414</t>
  </si>
  <si>
    <t>The integration of Artificial Intelligence (AI)-based smart teaching tools in education is revolutionizing traditional methods by providing personalized learning experiences, automated assessments, and data-driven insights. These tools, such as intelligen</t>
  </si>
  <si>
    <t>10.3233/FAIA251504</t>
  </si>
  <si>
    <t>https://www.scopus.com/pages/publications/105024530313?origin=resultslist</t>
  </si>
  <si>
    <t>AI adoption; AI literacy; AI tools; Higher education; Smart teaching</t>
  </si>
  <si>
    <t>Artificial intelligence; Computer aided instruction; Curricula; Education computing; Engineering education; Personnel training; Students; Teaching; Artificial intelligence adoption; Artificial intelligence literacy; Artificial intelligence tools; High edu</t>
  </si>
  <si>
    <t>IOS Press BV</t>
  </si>
  <si>
    <t>09226389</t>
  </si>
  <si>
    <t>Construction and Application of Automatic Scoring Index System for College English Multimedia Teaching Based on Neural Network</t>
  </si>
  <si>
    <t>Dong, Hui and Wei, Ping</t>
  </si>
  <si>
    <t>892 - 900</t>
  </si>
  <si>
    <t>With the continuous development of interactive multimedia, multimedia is increasingly integrated into college English teaching, providing advanced teaching equipment and resources. While enriching the teaching environment, it also brings new challenges to</t>
  </si>
  <si>
    <t>10.14569/IJACSA.2023.0140898</t>
  </si>
  <si>
    <t>https://www.scopus.com/pages/publications/85170640716?origin=resultslist</t>
  </si>
  <si>
    <t>Cognition of multimedia teaching in universities; neural network; scoring index; teaching system</t>
  </si>
  <si>
    <t xml:space="preserve">Computer software; Interactive computer systems; Multimedia systems; Quality control; Students; Teaching; Automatic scoring; Classroom teaching; Cognition of multimedium teaching in university; Error rate; Multimedia teachings; Neural-networks; Predicted </t>
  </si>
  <si>
    <t>Cited by: 2; All Open Access; Gold Open Access; Green Open Access</t>
  </si>
  <si>
    <t>Actionable Framework in Producing High-Impact, Low-Cost Instructor-Made-Videos for E-Learning</t>
  </si>
  <si>
    <t>Kok, Renee and Bonk, Curtis and Woo, Mei Teng and Lee, Jimmy</t>
  </si>
  <si>
    <t>International Journal on E-Learning: Corporate, Government, Healthcare, and Higher Education</t>
  </si>
  <si>
    <t>251 - 275</t>
  </si>
  <si>
    <t>21</t>
  </si>
  <si>
    <t>Instructor-made-videos (IMVs) are often used to foster learning in higher education. However, there is a dearth of studies on IMVs for any instructor to understand and replicate the success. In response, to better inform practice, the impact of IMVs on le</t>
  </si>
  <si>
    <t>https://www.scopus.com/pages/publications/85134755069?origin=resultslist</t>
  </si>
  <si>
    <t>e-learning; instructormade-videos; multimedia; online learning; videos</t>
  </si>
  <si>
    <t>Association for the Advancement of Computing in Education</t>
  </si>
  <si>
    <t>15372456</t>
  </si>
  <si>
    <t>Effectiveness of AI-Driven Assessments in Enhancing Learning Evaluation through Predictive Technology in Vocational Secondary School</t>
  </si>
  <si>
    <t>Budiman, Ridho Dedy Arief and Surjono, Herman Dwi and Wagiran and Firdaus, Muhamad and Kurniati, Tuti and Feladi, Vindo and Oktarika, Dini and Hakiki, Muhammad and Sabir, Arisman and Wiyoko, Tri and Kadir, Abdul and Hamid, Mustofa Abi and Fadli, Radinal</t>
  </si>
  <si>
    <t>1410 - 1417</t>
  </si>
  <si>
    <t xml:space="preserve">This study evaluates the effectiveness of Artificial Intelligence (AI)-driven assessments in enhancing learning evaluation through predictive technology in vocational secondary schools. Using a quasi-experimental design, the study involved two groups: an </t>
  </si>
  <si>
    <t>10.18178/ijiet.2025.15.7.2342</t>
  </si>
  <si>
    <t>https://www.scopus.com/pages/publications/105011599234?origin=resultslist</t>
  </si>
  <si>
    <t>Artificial Intelligence (AI)-driven assessments; learning evaluation; predictive technology; vocational education</t>
  </si>
  <si>
    <t>Cited by: 10; All Open Access; Gold Open Access</t>
  </si>
  <si>
    <t>Predicting and Real-Time Evaluating the Online Learning Quality of Elementary School Students Based on Ensemble Learning and Clustering</t>
  </si>
  <si>
    <t>Li, Huilin and Zhou, Yue and Fu, Xiaoqun</t>
  </si>
  <si>
    <t>2025 2nd International Conference on Artificial Intelligence and Teacher Education, ICAITE 2025</t>
  </si>
  <si>
    <t>74 - 79</t>
  </si>
  <si>
    <t>With the rapid growth of online education, large volumes of student behavioral data are continuously collected, providing new opportunities for quantitative assessment of learning quality. However, data from elementary students are typically highly hetero</t>
  </si>
  <si>
    <t>10.1109/ICAITE68636.2025.11442550</t>
  </si>
  <si>
    <t>https://www.scopus.com/pages/publications/105036337509?origin=resultslist</t>
  </si>
  <si>
    <t>Educational Data Mining; Ensemble Learning; Gradient Boosting Regression Tree; Online Learning Quality Assessment</t>
  </si>
  <si>
    <t>Behavioral research; Clustering algorithms; Correlation methods; Data mining; E-learning; Education computing; Forecasting; Metadata; Quality control; Regression analysis; Students; Boosting regression trees; Educational data mining; Ensemble learning; Gr</t>
  </si>
  <si>
    <t>Intelligent Evaluation Model for Graduate Employment Quality Based on Cross Modal Feature Learning</t>
  </si>
  <si>
    <t>Liu, Yulingand Yu, Jiayanand Yuan, Siyuand Hong, Shaoyong</t>
  </si>
  <si>
    <t>Springer Link</t>
  </si>
  <si>
    <t>348--359</t>
  </si>
  <si>
    <t xml:space="preserve">This paper presents an intelligent evaluation model for graduate employment quality based on cross-modal feature learning. Addressing the limitations of traditional assessment methods---including static weighting schemes, inefficient data collection, and </t>
  </si>
  <si>
    <t>Springer Nature Singapore</t>
  </si>
  <si>
    <t>Multiple Learning Features–Enhanced Knowledge Tracing Based on Learner–Resource Response Channels</t>
  </si>
  <si>
    <t>Wang, Zhifeng and Hou, Yulin and Zeng, Chunyan and Zhang, Si and Ye, Ruiqiu</t>
  </si>
  <si>
    <t>Sustainability (Switzerland)</t>
  </si>
  <si>
    <t>Knowledge tracing is a crucial task that involves modeling learners’ knowledge levels and predicting their future learning performance. However, traditional deep knowledge tracing approaches often overlook the intrinsic relationships among learning featur</t>
  </si>
  <si>
    <t>10.3390/su15129427</t>
  </si>
  <si>
    <t>https://www.scopus.com/pages/publications/85164183646?origin=resultslist</t>
  </si>
  <si>
    <t>attention mechanisms; bidirectional long short-term memory networks; knowledge tracing; learning performance prediction</t>
  </si>
  <si>
    <t>knowledge; learning; machine learning; memory; prediction; sustainability; teaching</t>
  </si>
  <si>
    <t>20711050</t>
  </si>
  <si>
    <t>Cited by: 14; All Open Access; Gold Open Access; Green Open Access</t>
  </si>
  <si>
    <t>Construction of aesthetic education evaluation model based on K-means clustering analysis in the context of artificial intelligence</t>
  </si>
  <si>
    <t>Li, Mo and Guo, Shasha and Chen, Jie</t>
  </si>
  <si>
    <t>Journal of Computational Methods in Sciences and Engineering</t>
  </si>
  <si>
    <t>728 - 743</t>
  </si>
  <si>
    <t>25</t>
  </si>
  <si>
    <t>Enhancing aesthetic education can boost individuals’ skills in recognizing, understanding, appreciating, and creating beauty. Nevertheless, traditional methods for evaluating aesthetic education are often subjective and have limited capacity to handle com</t>
  </si>
  <si>
    <t>10.1177/14727978251321946</t>
  </si>
  <si>
    <t>https://www.scopus.com/pages/publications/105000118999?origin=resultslist</t>
  </si>
  <si>
    <t>aesthetic education evaluation; artificial intelligence; feature extraction; K-means clustering algorithm; ResNet-101 model</t>
  </si>
  <si>
    <t>Feature extraction; Education evaluation; Esthetic education evaluation; Evaluation models; Features extraction; Individual skills; K-means clustering algorithms; K-means clustering analysis; Limited capacity; Model-based OPC; Resnet-101 model; K-means cl</t>
  </si>
  <si>
    <t>14727978</t>
  </si>
  <si>
    <t>Cited by: 1; All Open Access; Bronze Open Access</t>
  </si>
  <si>
    <t>An approach to dealing with incremental concept drift in personalized learning systems</t>
  </si>
  <si>
    <t>Allogmany, Bander and Josyula, Darsana</t>
  </si>
  <si>
    <t>Proceedings - 2022 IEEE 4th International Conference on Cognitive Machine Intelligence, CogMI 2022</t>
  </si>
  <si>
    <t>139 - 147</t>
  </si>
  <si>
    <t xml:space="preserve">In recent years, personalized learning systems have garnered significant academic research attention in the field of education. In a personalized learning system, learners receive a customized learning style that is tailored to their unique needs, goals, </t>
  </si>
  <si>
    <t>10.1109/CogMI56440.2022.00029</t>
  </si>
  <si>
    <t>https://www.scopus.com/pages/publications/85150679296?origin=resultslist</t>
  </si>
  <si>
    <t>Autoencoder; concept drift; LSTM; Machine learning; personalized learning</t>
  </si>
  <si>
    <t>Education computing; Learning algorithms; Learning systems; Long short-term memory; Auto encoders; Concept drifts; Data distribution; Learningstyles; LSTM; Machine learning models; Machine-learning; Personalizations; Personalized learning; Personalized le</t>
  </si>
  <si>
    <t>A SYSTEMATIC REVIEW: EMPLOYING AI IN ADAPTIVE LEARNING RECOMMENDATION SYSTEM FOR VOCATIONAL EDUCATION</t>
  </si>
  <si>
    <t>Setyaningsih, Fatma A. and Surjono, Herman D. and Andayani, Sri</t>
  </si>
  <si>
    <t>Journal of Theoretical and Applied Information Technology</t>
  </si>
  <si>
    <t>6350 - 6376</t>
  </si>
  <si>
    <t>103</t>
  </si>
  <si>
    <t>The integration of AI in vocational education, especially in adaptive learning, highlights the importance of automatically detecting individual learning styles. Traditional methods such as questionnaires, though reliable, face limitations like student rel</t>
  </si>
  <si>
    <t>https://www.scopus.com/pages/publications/105022292373?origin=resultslist</t>
  </si>
  <si>
    <t>Adaptive Learning; Artificial Intelligence; Career Recommendation; Vocational Education</t>
  </si>
  <si>
    <t>Little Lion Scientific</t>
  </si>
  <si>
    <t>19928645</t>
  </si>
  <si>
    <t>Designing a Digital Knowledge Management System for Supporting Teacher Observation in Game-Based Early Childhood Education</t>
  </si>
  <si>
    <t>Long, Luying</t>
  </si>
  <si>
    <t>International Journal of Knowledge Management</t>
  </si>
  <si>
    <t>22</t>
  </si>
  <si>
    <t>With the integration of gamification courses in preschool education, kindergarten teachers’ observational skills have become essential for teaching quality. Traditional methods struggle to capture the dynamic nature of play-based learning, calling for dig</t>
  </si>
  <si>
    <t>10.4018/IJKM.398363</t>
  </si>
  <si>
    <t>https://www.scopus.com/pages/publications/105028154151?origin=resultslist</t>
  </si>
  <si>
    <t>Digital Pathways; Educational Innovation; Gamification Course; Kindergarten; Teacher Observation Competence</t>
  </si>
  <si>
    <t>Curricula; Data accuracy; E-learning; Feedback; Gamification; Knowledge based systems; Knowledge management; Teaching; Digital pathway; Early childhood educations; Educational innovations; Game-Based; Gamification; Gamification course; Kindergarten; Knowl</t>
  </si>
  <si>
    <t>IGI Global</t>
  </si>
  <si>
    <t>15480666</t>
  </si>
  <si>
    <t>Application of Image Recognition in Nautical Simulator Training Assessment</t>
  </si>
  <si>
    <t>Bhagat, Sahil and Munim, Ziaul Haque</t>
  </si>
  <si>
    <t>61 - 70</t>
  </si>
  <si>
    <t>1274 LNNS</t>
  </si>
  <si>
    <t>Traditional methods for assessing student performance in maritime simulator training usually rely on instructor observations or post-manoeuvre de-briefing. This study explores the potential of applying image recognition technology to assess student perfor</t>
  </si>
  <si>
    <t>10.1007/978-3-031-84170-5_6</t>
  </si>
  <si>
    <t>https://www.scopus.com/pages/publications/105006502449?origin=resultslist</t>
  </si>
  <si>
    <t>image recognition; man overboard; nautical simulator; nautical training; Williamson turn</t>
  </si>
  <si>
    <t xml:space="preserve">Personnel training; Ship simulators; Students; Convolutional neural network; Image recognition technology; Man overboard; Maritime simulators; Nautical simulator; Nautical training; Simulator training; Student performance; Training assessment; Williamson </t>
  </si>
  <si>
    <t>Cited by: 2; All Open Access; Hybrid Gold Open Access</t>
  </si>
  <si>
    <t>Random Forest of Interaction Trees for Estimating Individualized Treatment Regimes with Ordered Treatment Levels in Observational Studies</t>
  </si>
  <si>
    <t>Thorp, Justin and Levine, Richard A. and Li, Luo and Fan, Juanjuan</t>
  </si>
  <si>
    <t>Journal of Data Science</t>
  </si>
  <si>
    <t>391 - 411</t>
  </si>
  <si>
    <t>Traditional methods for evaluating a potential treatment have focused on the average treatment effect. However, there exist situations where individuals can experience significantly heterogeneous responses to a treatment. In these situations, one needs to</t>
  </si>
  <si>
    <t>10.6339/23-JDS1084</t>
  </si>
  <si>
    <t>https://www.scopus.com/pages/publications/105013646345?origin=resultslist</t>
  </si>
  <si>
    <t>educational data mining; generalized propensity scores; individualized treatment effect; machine learning; student success study</t>
  </si>
  <si>
    <t>Center for Applied Statistics, School of Statistics, Renmin University of China</t>
  </si>
  <si>
    <t>1680743X</t>
  </si>
  <si>
    <t>Let me explain! The effects of writing and reading short justifications on students' performance, confidence and opinions in audience response systems</t>
  </si>
  <si>
    <t>Papadopoulos, Pantelis M. and Obwegeser, Nikolaus and Weinberger, Armin</t>
  </si>
  <si>
    <t>327 - 337</t>
  </si>
  <si>
    <t>38</t>
  </si>
  <si>
    <t>Background: The feedback offered to students in audience response systems may enhance conformity bias, while asking closed-type questions alone does not allow students to externalize and elaborate on their knowledge. Objectives: The study explores how wri</t>
  </si>
  <si>
    <t>10.1111/jcal.12608</t>
  </si>
  <si>
    <t>https://www.scopus.com/pages/publications/85114304035?origin=resultslist</t>
  </si>
  <si>
    <t>audience response systems; clickers; elaboration; justifications; peer instruction; self-assessment</t>
  </si>
  <si>
    <t>Cited by: 11; All Open Access; Green Open Access; Hybrid Gold Open Access</t>
  </si>
  <si>
    <t>From movement to learning: Leveraging VR behavioral metrics to evaluate cognitive load and curiosity</t>
  </si>
  <si>
    <t>Poupard, Matisse and Larrue, Florian and Bertrand, Martin and Liguoro, Dominique and Sauzéon, Hélène and Tricot, André</t>
  </si>
  <si>
    <t>International Journal of Human Computer Studies</t>
  </si>
  <si>
    <t>209</t>
  </si>
  <si>
    <t>Virtual Reality (VR) is increasingly used in education due to its immersive and interactive capabilities, but its impact on cognitive load and curiosity remains underexplored, particularly regarding real-time behavioral indicators of cognitive load and cu</t>
  </si>
  <si>
    <t>10.1016/j.ijhcs.2026.103751</t>
  </si>
  <si>
    <t>https://www.scopus.com/pages/publications/105028784785?origin=resultslist</t>
  </si>
  <si>
    <t>Behavioral metrics; Cognitive load; Curiosity; Movement entropy; Virtual reality</t>
  </si>
  <si>
    <t>Behavioral research; Computer aided instruction; E-learning; Entropy; Motivation; Time and motion study; Behavioral data; Behavioral metric; Cognitive loads; Curiosity; Hands movement; Head movements; Immersive; Intrinsic motivation; Movement entropy; Vir</t>
  </si>
  <si>
    <t>Academic Press</t>
  </si>
  <si>
    <t>10715819</t>
  </si>
  <si>
    <t>Cited by: 2; All Open Access; Green Open Access</t>
  </si>
  <si>
    <t>Adoption of Digital Games as Pedagogical Aids for Teachers and Pupils in Primary Schools to Overcome Learning Problems in Arithmetic</t>
  </si>
  <si>
    <t>Boussaha, Karima and Rahab, Abdelhafid and Khelifi Touhami, Khelifa and Boudraa, Charef Eddine Abdelaziz Tayeb</t>
  </si>
  <si>
    <t>88 - 95</t>
  </si>
  <si>
    <t>14799 LNCS</t>
  </si>
  <si>
    <t>Arithmetic is a fundamental component of mathematics education that forms the basis for many other disciplines, including science, engineering, and finance. However, for many schoolchildren, learning arithmetic can be a difficult and often tedious task. T</t>
  </si>
  <si>
    <t>10.1007/978-3-031-63031-6_8</t>
  </si>
  <si>
    <t>https://www.scopus.com/pages/publications/85196098472?origin=resultslist</t>
  </si>
  <si>
    <t>arithmetic operations; digital games; Education; game-based learning; primary school pupils; pupil performance</t>
  </si>
  <si>
    <t>E-learning; Arithmetic operations; Digital games; Game-based Learning; Learn+; Methods of teachings; Performance; Primary school pupil; Primary schools; Pupil performance; Teachers'; Computer games</t>
  </si>
  <si>
    <t>GeniAuti: Toward Data-Driven Interventions to Challenging Behaviors of Autistic Children through Caregivers' Tracking</t>
  </si>
  <si>
    <t>Jo, Eunkyung and Park, Seora and Bang, Hyeonseok and Hong, Youngeun and Kim, Yeni and Choi, Jungwon and Kim, Bung Nyun and Epstein, Daniel A. and Hong, Hwajung</t>
  </si>
  <si>
    <t>Proceedings of the ACM on Human-Computer Interaction</t>
  </si>
  <si>
    <t>Challenging behaviors significantly impact learning and socialization of autistic children and can stress and burden their caregivers. Documentation of challenging behaviors is fundamental for identifying what environmental factors influence them, such as</t>
  </si>
  <si>
    <t>10.1145/3512939</t>
  </si>
  <si>
    <t>https://www.scopus.com/pages/publications/85128405985?origin=resultslist</t>
  </si>
  <si>
    <t>autism; behavior intervention; challenging behavior; children; mobile application; parent-clinician communication; personal informatics</t>
  </si>
  <si>
    <t>Autistic children; Behavior intervention; Challenging behavior; Child; Data collection tools; Data driven; Environmental factors; Mobile applications; Parent-clinician communication; Personal informatics; Data acquisition</t>
  </si>
  <si>
    <t>25730142</t>
  </si>
  <si>
    <t>Cited by: 23; All Open Access; Hybrid Gold Open Access</t>
  </si>
  <si>
    <t>On the Use of an Online Polling Platform for Enhancing Student Engagement in an Engineering Module</t>
  </si>
  <si>
    <t>Malekjafarian, Abdollah and Gordan, Meisam</t>
  </si>
  <si>
    <t>Education Sciences</t>
  </si>
  <si>
    <t>Students’ engagement is a fundamental challenge in large classrooms in higher education. In recent years, innovative technologies such as electronic learning and online polling platforms have made learning more engaging, effective, and interactive. By usi</t>
  </si>
  <si>
    <t>10.3390/educsci14050536</t>
  </si>
  <si>
    <t>https://www.scopus.com/pages/publications/85194192812?origin=resultslist</t>
  </si>
  <si>
    <t>civil engineering; interactive teaching and learning; lesson planning; Slido</t>
  </si>
  <si>
    <t>22277102</t>
  </si>
  <si>
    <t>Cited by: 6; All Open Access; Gold Open Access</t>
  </si>
  <si>
    <t>A novel method for performance measurement of public educational institutions using machine learning models</t>
  </si>
  <si>
    <t>Alam, Talha Mahboob and Mushtaq, Mubbashar and Shaukat, Kamran and Hameed, Ibrahim A. and Sarwar, Muhammad Umer and Luo, Suhuai</t>
  </si>
  <si>
    <t xml:space="preserve">Lack of education is a major concern in underdeveloped countries because it leads to poor human and economic development. The level of education in public institutions varies across all regions around the globe. Current disparities in access to education </t>
  </si>
  <si>
    <t>10.3390/app11199296</t>
  </si>
  <si>
    <t>https://www.scopus.com/pages/publications/85116945391?origin=resultslist</t>
  </si>
  <si>
    <t>Educational data mining; Governance; Institutes performance; Key performance indicators; Performance measurement</t>
  </si>
  <si>
    <t>MDPI</t>
  </si>
  <si>
    <t>Cited by: 39; All Open Access; Gold Open Access; Green Open Access</t>
  </si>
  <si>
    <t>A LLM-Augmented Intelligent Tutoring System for Mathematical Statistics: Algorithm Design and Empirical Validation</t>
  </si>
  <si>
    <t>Liu, Xiaokang</t>
  </si>
  <si>
    <t>Advances in Transdisciplinary Engineering</t>
  </si>
  <si>
    <t>1837 - 1846</t>
  </si>
  <si>
    <t>75</t>
  </si>
  <si>
    <t>This study innovatively combines large language models (LLMs) with BP neural network algorithms to propose a computer technology-driven mathematical statistics education optimization framework. The four core factors affecting teaching effectiveness were i</t>
  </si>
  <si>
    <t>10.3233/ATDE250935</t>
  </si>
  <si>
    <t>https://www.scopus.com/pages/publications/105024672297?origin=resultslist</t>
  </si>
  <si>
    <t>algorithmic optimization; BP neural network; educational technology; Large language models (LLMs); mathematical statistics</t>
  </si>
  <si>
    <t>Computer aided instruction; Curricula; Education computing; Educational technology; Engineering education; Neural networks; Optimization; Semantics; Statistics; Students; Teaching; Algorithm design; Algorithmic optimization; BP neural networks; Design val</t>
  </si>
  <si>
    <t>2352751X</t>
  </si>
  <si>
    <t>873-878</t>
  </si>
  <si>
    <t>Measurement;Statistical analysis;Neural networks;Force;Educational technology;Learning (artificial intelligence);Predictive models;AI-driven learning analytics;student performance prediction;universities;artificial intelligence;personalized education;opti</t>
  </si>
  <si>
    <t>Designing a 1-Bit Button-Based Back-Channel Tool to Facilitate Communication in Junior High School Lectures</t>
  </si>
  <si>
    <t>Tanaka, Hiromasa and Fukumoto, Tatsuya and Yamamoto, Kengo and Higashino, Tomoaki and Fukushima, Shogo</t>
  </si>
  <si>
    <t>158 - 174</t>
  </si>
  <si>
    <t>15806 LNCS</t>
  </si>
  <si>
    <t>Active participation is essential for enhancing learning outcomes in lecture-style classes. However, existing Personal Response System (PRS) software to promote active participation is implemented on PCs, requiring teachers to temporarily pause the instru</t>
  </si>
  <si>
    <t>10.1007/978-3-031-93564-0_10</t>
  </si>
  <si>
    <t>https://www.scopus.com/pages/publications/105007692613?origin=resultslist</t>
  </si>
  <si>
    <t>Collaboration; Empirical study; Schools/Educational Setting; User Experience Design</t>
  </si>
  <si>
    <t>Microcomputers; Students; User centered design; Windows operating system; Back channels; Collaboration; Educational settings; Empirical studies; Junior high schools; Learning outcome; Lecture style; Personal response systems; School/educational setting; U</t>
  </si>
  <si>
    <t>A Machine Learning Approach to Predict and Analyze Student Academic Performance Using Random Forest and SVM with SMOTE for Imbalanced Data Handling</t>
  </si>
  <si>
    <t>Suwirmayanti, Ni Luh Gede Pivin and Diaz, Ricky Aurelius Nurtanto and Permana, Putu Adi Guna and Pramana, Dian and Pratama, I. Gde Agus Satya and Siregar, Adolf Christian Pardomuan</t>
  </si>
  <si>
    <t>2025 7th International Conference on Cybernetics and Intelligent System, ICORIS 2025</t>
  </si>
  <si>
    <t>Education plays a crucial role in shaping the quality of human resources. One of the indicators of the effectiveness of the learning process is the academic achievement of students. Educational Data Mining (EDM) uses an algorithm-based analytical approach</t>
  </si>
  <si>
    <t>10.1109/ICORIS67789.2025.11296048</t>
  </si>
  <si>
    <t>https://www.scopus.com/pages/publications/105032518715?origin=resultslist</t>
  </si>
  <si>
    <t>machine learning; random forest; smote; student academic performance; support vector machine</t>
  </si>
  <si>
    <t>Data accuracy; Data handling; Data mining; Forecasting; Learning algorithms; Learning systems; Students; Academic achievements; Academic performance; Machine learning approaches; Machine-learning; Overall accuracies; Random forests; Smote; Student academi</t>
  </si>
  <si>
    <t>Effects of mobile-assisted language learning on foreign language learners’ speaking skill development</t>
  </si>
  <si>
    <t>Li, Rui</t>
  </si>
  <si>
    <t>Language Learning and Technology</t>
  </si>
  <si>
    <t>1 - 26</t>
  </si>
  <si>
    <t>28</t>
  </si>
  <si>
    <t>Despite the growing body of research regarding the effectiveness of MALL (mobile-assisted language learning) technologies on foreign language (FL) learners’ speaking skill development, a comprehensively quantitative meta-analysis regarding the effect size</t>
  </si>
  <si>
    <t>https://www.scopus.com/pages/publications/85182228330?origin=resultslist</t>
  </si>
  <si>
    <t>Evidence-based Applied Linguistics (EBAL); Foreign Language (FL); Meta-analysis; Mobile-assisted Language Learning (MALL); Speaking Skill</t>
  </si>
  <si>
    <t>University of Hawaii at Manoa</t>
  </si>
  <si>
    <t>10943501</t>
  </si>
  <si>
    <t>Cited by: 21</t>
  </si>
  <si>
    <t>A Study of Student Behavioral Pathways in Gen AI-Enabled Economics and Management Courses Teaching and Learning</t>
  </si>
  <si>
    <t>Lu, Yu and He, Shuai and Zhang, Riyue</t>
  </si>
  <si>
    <t>2024 4th International Conference on Educational Technology, ICET 2024</t>
  </si>
  <si>
    <t>563 - 567</t>
  </si>
  <si>
    <t>&lt;sup&gt;1&lt;/sup&gt; In the digital intelligence era, generative artificial intelligence, particularly ChatGPT, has seen rapid development. Numerous studies have confirmed that generative AI can provide efficient and personalized intelligent services and technica</t>
  </si>
  <si>
    <t>10.1109/ICET62460.2024.10868872</t>
  </si>
  <si>
    <t>https://www.scopus.com/pages/publications/85218498537?origin=resultslist</t>
  </si>
  <si>
    <t>Economics and Management Courses teaching; Gen AI; Learning Behavior</t>
  </si>
  <si>
    <t xml:space="preserve">Adversarial machine learning; Federated learning; Students; Course teachings; Economic and management course teaching; Economic course; Gen AI; Intelligent Services; Learning behavior; Management course; Service support; Student performance; Teaching and </t>
  </si>
  <si>
    <t>A duplex adaptation mechanism in the personalized learning environment</t>
  </si>
  <si>
    <t>Wongwatkit, Charoenchai and Panjaburee, Patcharin</t>
  </si>
  <si>
    <t>1111 - 1131</t>
  </si>
  <si>
    <t>The implementation of personalized learning environments presents a complex challenge in continuously analyzing the learning process and customizing instructional content for individual students. In response to this challenge, this study introduces a dupl</t>
  </si>
  <si>
    <t>10.1007/s40692-023-00292-w</t>
  </si>
  <si>
    <t>https://www.scopus.com/pages/publications/85167512836?origin=resultslist</t>
  </si>
  <si>
    <t>Adaptive learning environment; Learning analytic; Machine learning algorithm; Personalization; Recommender system</t>
  </si>
  <si>
    <t>Classroom Activity Classification with Deep Learning</t>
  </si>
  <si>
    <t>Al-Sakib, Abdullah and Islam, Fahadul and Haque, Rezaul and Islam, Md Babul and Siddiqua, Ayesha and Rahman, Mohammad Mominur</t>
  </si>
  <si>
    <t>2nd International Conference on Integrated Circuits and Communication Systems, ICICACS 2024</t>
  </si>
  <si>
    <t>Understanding students' classroom activities has become increasingly important in educational research. Accurate classification of classroom activities can provide valuable insights into student engagement, learning dynamics, and classroom management. Tra</t>
  </si>
  <si>
    <t>10.1109/ICICACS60521.2024.10498187</t>
  </si>
  <si>
    <t>https://www.scopus.com/pages/publications/85191745970?origin=resultslist</t>
  </si>
  <si>
    <t>deep learning; image classification; machine learning; student activity; transfer learning</t>
  </si>
  <si>
    <t>Deep learning; Learning systems; Students; Support vector machines; Transfer learning; Activity classifications; Classroom activity; Deep learning; Dynamic management; Educational research; Images classification; Machine-learning; Student activity; Studen</t>
  </si>
  <si>
    <t>Cited by: 11</t>
  </si>
  <si>
    <t>Impact of Training Kit-Based Internet of Things to Learn Microcontroller Viewed in Cognitive Domain</t>
  </si>
  <si>
    <t>Habibi, Mohammad Wildan and Buditjahjanto, I. Gusti Putu Asto</t>
  </si>
  <si>
    <t>TEM Journal</t>
  </si>
  <si>
    <t>1157 - 1166</t>
  </si>
  <si>
    <t>– This research aims to find out how effective the IoT microcontroller training kit learning media is and to analyze the effect of using the IoT microcontroller training kit compared to the common microcontroller training kit on students’ cognitive learni</t>
  </si>
  <si>
    <t>10.18421/TEM132-30</t>
  </si>
  <si>
    <t>https://www.scopus.com/pages/publications/85196111907?origin=resultslist</t>
  </si>
  <si>
    <t>cognitive domain; IoT; microcontroller; Quality education; training kit</t>
  </si>
  <si>
    <t>UIKTEN - Association for Information Communication Technology Education and Science</t>
  </si>
  <si>
    <t>22178309</t>
  </si>
  <si>
    <t>Cited by: 4; All Open Access; Gold Open Access</t>
  </si>
  <si>
    <t>Enhancing Academic Achievement and Engagement Through Digital Game-Based Learning: An Empirical Study on Middle School Students</t>
  </si>
  <si>
    <t>Amzalag, Meital and Kadusi, Dorin and Peretz, Shimon</t>
  </si>
  <si>
    <t>1209 - 1233</t>
  </si>
  <si>
    <t>Abundant research has tried to understand how games can be designed and used effectively to improve the learning process and to examine the correlations between digital learning games and student motivation, engagement, and knowledge retention. The curren</t>
  </si>
  <si>
    <t>10.1177/07356331241236937</t>
  </si>
  <si>
    <t>https://www.scopus.com/pages/publications/85188552719?origin=resultslist</t>
  </si>
  <si>
    <t>digital game generators; digital game-based learning; intrinsic and extrinsic motivation; middle school students</t>
  </si>
  <si>
    <t>Cited by: 18; All Open Access; Bronze Open Access</t>
  </si>
  <si>
    <t>Assessing the Promise and Pitfalls of ChatGPT for Automated CS1-driven Code Generation</t>
  </si>
  <si>
    <t>Akbar Khan, Muhammad Fawad and Ramsdell, Max and Falor, Erik and Karimi, Hamid</t>
  </si>
  <si>
    <t>83 - 95</t>
  </si>
  <si>
    <t>This paper undertakes a thorough evaluation of ChatGPT’s code generation capabilities, contrasting them with those of human programmers from both educational and software engineering standpoints. The emphasis is placed on elucidating its importance in the</t>
  </si>
  <si>
    <t>10.5281/zenodo.12729778</t>
  </si>
  <si>
    <t>https://www.scopus.com/pages/publications/105023322122?origin=resultslist</t>
  </si>
  <si>
    <t>ChatGPT; Code Generation; Code Metrics; Computer Science Education; GPT3.5 Turbo; Machine Learning; Python</t>
  </si>
  <si>
    <t>MOOC Learner Performance Prediction with CNN-LSTM Mechanism</t>
  </si>
  <si>
    <t>Infant Raj, I. and Pavani, G. and Shukla, Tushar Dhar and Arunadevi, V. and Kavitha, P. and Parida, Prasanta</t>
  </si>
  <si>
    <t>2024 IEEE Silchar Subsection Conference, SILCON 2024</t>
  </si>
  <si>
    <t>Predicting student performance in massive open online courses (MOOCs) is important for instructional outcomes and the development of personalized learning interventions. This study presents a novel approach using Convolutional Neural Networks (CNNs) and L</t>
  </si>
  <si>
    <t>10.1109/SILCON63976.2024.10910596</t>
  </si>
  <si>
    <t>https://www.scopus.com/pages/publications/105001376317?origin=resultslist</t>
  </si>
  <si>
    <t>Convolutional Neural Network; Deep learning; Learner Performance Prediction; Long short term memory; MOOC</t>
  </si>
  <si>
    <t>Adversarial machine learning; Contrastive Learning; Deep neural networks; Federated learning; Long short-term memory; Prediction models; Self-supervised learning; Students; Teaching; Convolutional neural network; Deep learning; F1 scores; Learner performa</t>
  </si>
  <si>
    <t>Ensuring Accessible AI-based Students Cognitive Assistance for Improving Career Growth</t>
  </si>
  <si>
    <t>reisen Fantino, E. and Deepakraj, S. and Radha Krishnan, K.R.</t>
  </si>
  <si>
    <t>Proceedings of the International Conference on Intelligent Computing and Control Systems, ICICCS 2025</t>
  </si>
  <si>
    <t>1167 - 1172</t>
  </si>
  <si>
    <t>The rapidly evolving job market demands innovative career guidance systems capable of adapting to dynamic industry needs and individual aspirations. Traditional career counseling methods, characterized by static assessments and generic recommendations, ar</t>
  </si>
  <si>
    <t>10.1109/ICICCS65191.2025.10984448</t>
  </si>
  <si>
    <t>https://www.scopus.com/pages/publications/105007521592?origin=resultslist</t>
  </si>
  <si>
    <t>Adaptive Psychometric Testing; Artificial Intelligence; Career Development; Career Guidance; Cloud-Based Architecture; Cognitive Assistance; Gamification; Graph-Based Recommendations; Machine Learning; Natural Language Processing; Personalized Learning; P</t>
  </si>
  <si>
    <t>Adaptive psychometric testing; Career development; Career guidance; Cloud-based architectures; Cognitive assistance; Gamification; Gap analysis; Graph-based; Graph-based recommendation; Language processing; Machine-learning; Market analysis; Natural langu</t>
  </si>
  <si>
    <t>Adaptive Weighted Fuzzy Clustering Framework for Evaluation of Student’s Practical Ability in Higher Education</t>
  </si>
  <si>
    <t>1-7</t>
  </si>
  <si>
    <t>Modeling;Learning (artificial intelligence);Equations;Indexes;Indexing;Printing;Accuracy;Tagging;Clustering methods;Educational institutions;adaptive feature weighting;educational data mining;student performance analysis;clustering algorithm;practical abi</t>
  </si>
  <si>
    <t>Academic Temporal Pattern Mining for Enhanced Student Performance Prediction: A Hybrid Machine Learning Approach</t>
  </si>
  <si>
    <t>Rajendran, Vasanth and Besiahgari, Dinesh and Patil, Sachin Chandrakant and Challagulla, Vishnu and Chandrashekaraiah, Manjunath</t>
  </si>
  <si>
    <t>1-6</t>
  </si>
  <si>
    <t>10.1109/ICDSAAI65575.2025.11011532</t>
  </si>
  <si>
    <t>Accuracy;Market research;Stability analysis;Timing;Data mining;Pattern analysis;Random forests;temporal pattern mining;student performance prediction;educational data mining;hybrid machine learning;academic analytics</t>
  </si>
  <si>
    <t>Optimizing Student Engagement Prediction with Machine Learning and Big Data Analytics</t>
  </si>
  <si>
    <t>Prince Mary, S. and Gambhir, Vinima and Mahalakshmi, R. and Begum, Benazeer and Kala and Mahajan, Shriya</t>
  </si>
  <si>
    <t>2025 International Conference on Metaverse and Current Trends in Computing, ICMCTC 2025</t>
  </si>
  <si>
    <t>Student engagement involves participation, motivation, and emotional involvement, and has implications for academic performance. Machine learning (ML) can predict student engagement through big data analytics can offer insights for personalized learning a</t>
  </si>
  <si>
    <t>10.1109/ICMCTC62214.2025.11196115</t>
  </si>
  <si>
    <t>https://www.scopus.com/pages/publications/105022243459?origin=resultslist</t>
  </si>
  <si>
    <t>Big Data; Machine Learning (Ml); Prediction; Student Engagement</t>
  </si>
  <si>
    <t>Learning systems; Machine learning; Predictive analytics; Principal component analysis; Academic performance; Data analytics; Dynamic supports; Machine learning; Machine-learning; Open-source; Optimizers; Personalized learning; Student engagement; Support</t>
  </si>
  <si>
    <t>74-79</t>
  </si>
  <si>
    <t>Trees (botanical);Education;Learning (artificial intelligence);Predictive models;Boosting;Real-time systems;Stability analysis;Ensemble learning;Noise measurement;Regression tree analysis;Ensemble Learning;Gradient Boosting Regression Tree;Educational Dat</t>
  </si>
  <si>
    <t>AI-driven predictive models for optimizing mathematics education technology: Enhancing decision-making through educational data mining and meta-analysis</t>
  </si>
  <si>
    <t>He, Aneng and Yuan, Wenwen and Lee, Lai Soon and Tian, Tian</t>
  </si>
  <si>
    <t>Smart Learning Environments</t>
  </si>
  <si>
    <t>This paper explores the challenge of achieving consistent effectiveness in integrating Mathematics Education Technology (MET) in K-12 classrooms, focusing on factors such as technology type, timing, and instructional strategies. It highlights the difficul</t>
  </si>
  <si>
    <t>10.1186/s40561-025-00415-z</t>
  </si>
  <si>
    <t>https://www.scopus.com/pages/publications/105019063107?origin=resultslist</t>
  </si>
  <si>
    <t>Active learning; Artificial intelligence; Educational data mining; Mathematics education technology; Meta-analysis; Predictive learning analytics</t>
  </si>
  <si>
    <t>21967091</t>
  </si>
  <si>
    <t>Cited by: 3; All Open Access; Gold Open Access; Green Open Access</t>
  </si>
  <si>
    <t>Design and Implementation of MBA Personalised Teaching System Combining Intelligent Recommendation and Learning Analytics</t>
  </si>
  <si>
    <t>Xu, Tianjiao and Zabit, Mohd Nazir bin Md</t>
  </si>
  <si>
    <t>195 - 205</t>
  </si>
  <si>
    <t>1735 LNNS</t>
  </si>
  <si>
    <t>Contemporary MBA education faces a significant contradiction between increasing demands for personalized learning experiences and the limitations of traditional teaching methodologies. To address this challenge, this paper presents the design and implemen</t>
  </si>
  <si>
    <t>10.1007/978-3-032-11957-5_17</t>
  </si>
  <si>
    <t>https://www.scopus.com/pages/publications/105028751384?origin=resultslist</t>
  </si>
  <si>
    <t>Collaborative Filtering; Deep Learning; Learning Path Generation; MBA Education; Personalised Teaching</t>
  </si>
  <si>
    <t xml:space="preserve">Collaborative learning; Deep learning; E-learning; Education computing; Engineering education; Federated learning; Learning algorithms; Learning systems; Teaching; Deep learning; Design and implementations; Learning experiences; Learning path generation; </t>
  </si>
  <si>
    <t>Introducing the Hyperdynamic Adaptive Learning Fusion (HALF) model for superior predictive analytics in E-learning</t>
  </si>
  <si>
    <t>Islam, Umar and Alali, Ibrahim Khalil and Alotaibi, Shoayee Dlaim and Alzaid, Zaid and Shah, Babar and Ali, Ijaz and Moreira, Fernando</t>
  </si>
  <si>
    <t>Neural Computing and Applications</t>
  </si>
  <si>
    <t>25745 - 25765</t>
  </si>
  <si>
    <t>37</t>
  </si>
  <si>
    <t xml:space="preserve">Today’s complex world is defined by digital changes in educational paradigms to which E-learning has contributed significantly, and as such, accurate prediction methods are needed for student performance modeling. In this paper a new and complex model is </t>
  </si>
  <si>
    <t>10.1007/s00521-025-11018-7</t>
  </si>
  <si>
    <t>https://www.scopus.com/pages/publications/105000276422?origin=resultslist</t>
  </si>
  <si>
    <t>Accurate prediction methods; Artificial intelligence; Predicting student performance; Virtual Learning Environment</t>
  </si>
  <si>
    <t>Adversarial machine learning; Curricula; Federated learning; Prediction models; Predictive analytics; Self-supervised learning; Students; Teaching; Accurate prediction; Accurate prediction method; Adaptive learning; E - learning; Fusion model; Performance</t>
  </si>
  <si>
    <t>09410643</t>
  </si>
  <si>
    <t>Cited by: 1; All Open Access; Green Open Access</t>
  </si>
  <si>
    <t>Spatial Immersive Learning Environments in Primary Education: A Review of Impacts and Implementation Challenges</t>
  </si>
  <si>
    <t>Daghriri, Ibrahim and Liang, Christy Jie and Huang, Weidong</t>
  </si>
  <si>
    <t>99–105</t>
  </si>
  <si>
    <t>Spatial immersive learning environments (SILEs) in primary schools show promise in enhancing student engagement and academic outcomes. This study reviews their benefits, including improved learning retention, motivation, social skills, and problem-solving</t>
  </si>
  <si>
    <t>10.1145/3658549.3658572</t>
  </si>
  <si>
    <t>https://doi.org/10.1145/3658549.3658572</t>
  </si>
  <si>
    <t>Predicting Student Dropout Rates in Online Education Platforms utilizing Naive Bayes Algorithm</t>
  </si>
  <si>
    <t>Panizales, Warren and Lagunzad, Herminiño and Ferrer, Melvin and Villanueva, Crimgene and Kalaw, Daisy and Garcia, Kris</t>
  </si>
  <si>
    <t>425-429</t>
  </si>
  <si>
    <t>10.1109/IC4e65071.2025.11075311</t>
  </si>
  <si>
    <t>Measurement;Electronic learning;Accuracy;Education;Machine learning;Real-time systems;Naive Bayes methods;Data mining;Reliability;Mentoring;Student Dropout Prediction;Online Education Platforms;Naive Bayes Algorithm;Educational Data Mining;Machine Learnin</t>
  </si>
  <si>
    <t>Advancing educational data mining for enhanced student performance prediction: a fusion of feature selection algorithms and classification techniques with dynamic feature ensemble evolution</t>
  </si>
  <si>
    <t>Malik, Saleem and Patro, S. Gopal Krishna and Mahanty, Chandrakanta andHegde, Rashmi and Naveed, Quadri Noorulhasan and Lasisi, Ayodele andBuradi, Abdulrajak and Emma, Addisu Frinjo and Kraiem, Naoufel</t>
  </si>
  <si>
    <t>SCIENTIFIC REPORTS</t>
  </si>
  <si>
    <t>ISI Web of Science</t>
  </si>
  <si>
    <t>10.1038/s41598-025-92324-x</t>
  </si>
  <si>
    <t>2045-2322</t>
  </si>
  <si>
    <t>SMART LEARNING ENVIRONMENTS</t>
  </si>
  <si>
    <t>Class integration of ChatGPT and learning analytics for higher education</t>
  </si>
  <si>
    <t>Civit, Miguel and Escalona, Maria Jose and Cuadrado, Francisco andReyes-de-Cozar, Salvador</t>
  </si>
  <si>
    <t>EXPERT SYSTEMS</t>
  </si>
  <si>
    <t>41</t>
  </si>
  <si>
    <t>10.1111/exsy.13703</t>
  </si>
  <si>
    <t>0266-4720</t>
  </si>
  <si>
    <t>195-205</t>
  </si>
  <si>
    <t>1735</t>
  </si>
  <si>
    <t>10.1007/978-3-032-11957-5\_17</t>
  </si>
  <si>
    <t>2367-3370</t>
  </si>
  <si>
    <t>2025 International Conference on Information, Computing andTechnology-ICICT, Changsha, PEOPLES R CHINA, AUG 01-03, 2025</t>
  </si>
  <si>
    <t>A multimodal vision-language framework using contrastive language-image pre-training for robust facial expression analysis in realistic classroom environments</t>
  </si>
  <si>
    <t>Ayub, Nighat and Alam, Fakhre and Ullah, Asad and Ahmad, Jamil andFarman, Haleem and Shafai, Walid El and Sedik, Ahmad</t>
  </si>
  <si>
    <t>JOURNAL OF KING SAUD UNIVERSITY COMPUTER AND INFORMATION SCIENCES</t>
  </si>
  <si>
    <t>10.1007/s44443-026-00905-1</t>
  </si>
  <si>
    <t>1319-1578</t>
  </si>
  <si>
    <t>468-479</t>
  </si>
  <si>
    <t>15849</t>
  </si>
  <si>
    <t>10.1007/978-981-96-9881-3\_39</t>
  </si>
  <si>
    <t>0302-9743</t>
  </si>
  <si>
    <t>21st International Conference on Intelligent Computing-ICIC-Annual,Ningbo, PEOPLES R CHINA, JUL 26-29, 2025</t>
  </si>
  <si>
    <t>From Data to Decisions: Enhancing Student Retention with Predictive Analytics</t>
  </si>
  <si>
    <t>Patel, Hardik I. and Patel, Dharmendra</t>
  </si>
  <si>
    <t>437-449</t>
  </si>
  <si>
    <t>1463</t>
  </si>
  <si>
    <t>10.1007/978-981-96-7514-2\_35</t>
  </si>
  <si>
    <t>9th International Conference on Smart Trends in Computing andCommunications-SmartCom, Pune, INDIA, JAN 29-31, 2025</t>
  </si>
  <si>
    <t>Khoudi, Zakaria and Hafidi, Nasreddine and Nachaoui, Mourad and Lyaqini,Soufiane</t>
  </si>
  <si>
    <t>INFORMATION DISCOVERY AND DELIVERY</t>
  </si>
  <si>
    <t>197-217</t>
  </si>
  <si>
    <t>2398-6247</t>
  </si>
  <si>
    <t>Early Prediction of Novice Students Performance in an Introductory Programming Course Using Hyperparameter Tuned Model</t>
  </si>
  <si>
    <t>Vinoth, R.and Sivasakthi, M.</t>
  </si>
  <si>
    <t>303--321</t>
  </si>
  <si>
    <t xml:space="preserve">Undergraduates studying Computer Science (CS) and engineering need to hone their problem-solving abilities, which are especially crucial when tackling programming challenges involving basic strategies. These abilities should ideally be cultivated earlier </t>
  </si>
  <si>
    <t>Springer Nature Switzerland</t>
  </si>
  <si>
    <t>Real-Time Attendance Tracking Using Face Recognition with Automated Email Alerts and Analytics Dashboard</t>
  </si>
  <si>
    <t>Anuradha, Ch. and Sri Sai, Bhrugumalla Eswar and Chakradhar, Karakatla and Jaichand, Yellamali</t>
  </si>
  <si>
    <t>2025 IEEE 7th International Conference on Computing, Communication and Automation, ICCCA 2025</t>
  </si>
  <si>
    <t>In modern educational environments, efficient time management and accurate student monitoring are critical for enhancing the teaching and learning experience. Traditional methods of attendance recording, such as roll calls or manual sign-in sheets, are ti</t>
  </si>
  <si>
    <t>10.1109/ICCCA66364.2025.11325259</t>
  </si>
  <si>
    <t>https://www.scopus.com/pages/publications/105035174119?origin=resultslist</t>
  </si>
  <si>
    <t>analytics dashboard; automated attendance system; educational technology; email alerts; Euclidean distance; Face recognition; HOG; real-time monitoring; ResNet; SVM</t>
  </si>
  <si>
    <t>Automation; Data mining; Distance education; Education computing; Educational technology; Electronic mail; Graphic methods; Students; Support vector machines; Teaching; Analytic dashboard; Attendance systems; Automated attendance system; Educational envir</t>
  </si>
  <si>
    <t>Integrating Expert Knowledge with Automated Knowledge Component Extraction for Student Modeling</t>
  </si>
  <si>
    <t>Sampaio De Alencar, Rafaella and Demirtas, Mehmet Arif and Saha, Adittya Soukarjya and Shi, Yang and Brusilovsky, Peter</t>
  </si>
  <si>
    <t>UMAP 2025 - Proceedings of the 33rd ACM Conference on User Modeling, Adaptation and Personalization</t>
  </si>
  <si>
    <t>307 - 312</t>
  </si>
  <si>
    <t>Knowledge tracing is a method to model students' knowledge and enable personalized education in many STEM disciplines such as mathematics and physics, but has so far still been a challenging task in computing disciplines. One key obstacle to successful kn</t>
  </si>
  <si>
    <t>10.1145/3699682.3728348</t>
  </si>
  <si>
    <t>https://www.scopus.com/pages/publications/105025579374?origin=resultslist</t>
  </si>
  <si>
    <t>computing education; intelligent tutoring systems; knowledge components; learning curves; student modeling</t>
  </si>
  <si>
    <t>Automation; Benchmarking; Computer aided instruction; Computer software; E-learning; Education computing; Engineering education; Human engineering; Ontology; Students; Component extraction; Computing education; Expert knowledge; Intelligent tutoring; Inte</t>
  </si>
  <si>
    <t>Association for Computing Machinery, Inc</t>
  </si>
  <si>
    <t>Leveraging Regression-Based Machine Learning for Predicting Middle School Student Passing Grades</t>
  </si>
  <si>
    <t>Nugraha, Fiona Maharani and Dewi, Kimberly Kayla and Gunawan, Alexander Agung Santoso and Tedjasulaksana, Jeffrey Junior</t>
  </si>
  <si>
    <t>10.1109/AIMS66189.2025.11229636</t>
  </si>
  <si>
    <t>Accuracy;Soft sensors;Linear regression;Predictive models;Nearest neighbor methods;Data models;Reliability;Predictive analytics;Regression tree analysis;Random forests;machine learning;student performance;passing grade;academic success;predictive analytic</t>
  </si>
  <si>
    <t>Advanced Learning Platform Integrating AR/VR, AI and Voice Command Technologies for Innovative Educational Experiences</t>
  </si>
  <si>
    <t>Chouhan, Sandeep and Prakash, S Ashish and Zaheer, Mohammed and Singh, Jobandeep and Sinha, Debasish and Kaur, Mandeep</t>
  </si>
  <si>
    <t>47-52</t>
  </si>
  <si>
    <t>10.1109/AUTOCOM64127.2025.10957150</t>
  </si>
  <si>
    <t>Performance evaluation;Visualization;Learning management systems;Software design;Scalability;Education;Transforms;Real-time systems;Artificial intelligence;Augmented reality;Immersive Learning;Augmented Reality (AR);Virtual Reality (VR);Artificial Intelli</t>
  </si>
  <si>
    <t>Enhancing Scholarship Allocation Through Machine Learning: A Review of Models and Techniques</t>
  </si>
  <si>
    <t>Remolado, Alvin T. and Dumdumaya, Cristina E.</t>
  </si>
  <si>
    <t>1-14</t>
  </si>
  <si>
    <t>10.1109/eStream66938.2025.11016866</t>
  </si>
  <si>
    <t>Support vector machines;Deep learning;Analytical models;Scholarships;Biological system modeling;Computational modeling;Education;Data models;Resource management;Systematic literature review;Paper Review;Machine Learning;Scholarship Allocation;Higher Educa</t>
  </si>
  <si>
    <t>Unveiling Student Success: A Multifaceted Approach with Learning Coefficients and Beyond</t>
  </si>
  <si>
    <t>Vijaya Kumar, Nukala and Rafi, Shaik and Mahith, Tumpala and Reddy, D. Venkata and Naik, Kethavath Ravi and Raju, Kolakani</t>
  </si>
  <si>
    <t>1-5</t>
  </si>
  <si>
    <t>10.1109/ICIICS63763.2024.10859995</t>
  </si>
  <si>
    <t>Deep learning;Support vector machines;Accuracy;Machine learning algorithms;Predictive models;Nearest neighbor methods;Prediction algorithms;Convolutional neural networks;Long short term memory;Random forests;early detection;data mining;academic performanc</t>
  </si>
  <si>
    <t>Revolutionizing Departmental Management through Intelligent Technology: A Machine Learning Approach to Optimization</t>
  </si>
  <si>
    <t>Arockia Mary, P and K, Umamaheswari and S, Bhushan S and S, Hariharan K and G, Dennish Albert and R, Harivarshan</t>
  </si>
  <si>
    <t>10.1109/AIMLA63829.2025.11040379</t>
  </si>
  <si>
    <t>Access control;Deep learning;Support vector machines;Adaptation models;Accuracy;Scalability;Decision making;Manuals;Transforms;Real-time systems;Machine learning;AI-powered Department Management System;AI-based Timetable Scheduling;Role-Based Access Contr</t>
  </si>
  <si>
    <t>Mary, S. Prince and Gambhir, Vinima and Mahalakshmi, R and Begum, Benazeer and Kala and Mahajan, Shriya</t>
  </si>
  <si>
    <t>Support vector machines;Accuracy;Machine learning;Big Data;Predictive models;Performance metrics;Market research;Feature extraction;Data models;Principal component analysis;Machine Learning (Ml);Big Data;Student Engagement;Prediction</t>
  </si>
  <si>
    <t>Machine learning;Modeling;Machining;Learning (artificial intelligence);Accuracy;Printing;Support vector machines;Equations;Deep learning;Educational institutions;EDM;Hybrid Machine Learning;Classification and Recommendation;Student Performance Prediction;</t>
  </si>
  <si>
    <t>Modeling;Machine learning;Machining;Printing;Artificial intelligence;Learning (artificial intelligence);Accuracy;Support vector machines;Data mining;Decision trees;AI;Machine Learning;Student Performance Prediction;Educational Data Mining;Random Forest;XG</t>
  </si>
  <si>
    <t>Design and Application of University Enrollment Management Platform Based on Intelligent Decision Support System</t>
  </si>
  <si>
    <t>Li, Pan</t>
  </si>
  <si>
    <t>43-47</t>
  </si>
  <si>
    <t>10.1109/ICIDML69845.2025.00018</t>
  </si>
  <si>
    <t>Modeling;Optimization;Long short term memory;Machine learning;Forecasting;Machining;Timing;Educational institutions;Resource management;Printing;Enrollment management;decision support system;machine learning;LSTM-XGBoost hybrid model;multi-objective optim</t>
  </si>
  <si>
    <t>Using peer feedback to improve critical thinking in computer-supported collaborative argumentation: An exploratory study</t>
  </si>
  <si>
    <t>Chen, Wenli and Hu, Hua and Lyu, Qianru and Zheng, Lishan</t>
  </si>
  <si>
    <t>3390 - 3405</t>
  </si>
  <si>
    <t>40</t>
  </si>
  <si>
    <t>Background: Critical thinking is one of the 21st Century competencies for students. While previous research acknowledges the potential of peer feedback to enhance critical thinking skills, particularly within computer-supported collaborative learning (CSC</t>
  </si>
  <si>
    <t>10.1111/jcal.13078</t>
  </si>
  <si>
    <t>https://www.scopus.com/pages/publications/85205599509?origin=resultslist</t>
  </si>
  <si>
    <t>computer-supported collaborative argumentation; computer-supported collaborative learning; critical thinking; higher-order thinking; K-12 education; peer feedback</t>
  </si>
  <si>
    <t>Cited by: 12; All Open Access; Bronze Open Access</t>
  </si>
  <si>
    <t>Speech recognition as a supportive tool in the speech therapy game</t>
  </si>
  <si>
    <t>Ondas, Stanislav and Stas, Jan and Sevc, Richard</t>
  </si>
  <si>
    <t>34th International Conference Radioelektronika, RADIOELEKTRONIKA 2024 - Proceedings</t>
  </si>
  <si>
    <t>Communication is crucial for humans and significantly affects their quality of life. Speech and hearing disorders result in communication and social limitations. Therefore, early diagnosis and treatment are essential. In addition to traditional methods, n</t>
  </si>
  <si>
    <t>10.1109/RADIOELEKTRONIKA61599.2024.10524060</t>
  </si>
  <si>
    <t>https://www.scopus.com/pages/publications/85194138286?origin=resultslist</t>
  </si>
  <si>
    <t>children's games; home exercises; speech and hearing disorders; speech recognition; speech therapy</t>
  </si>
  <si>
    <t>Audition; Diagnosis; Speech communication; Child game; Children's speech; Early diagnosis; Hearing disorders; Home exercise; Quality of life; Speech disorders; Speech recognition technology; Speech therapy; Supportive tools; Speech recognition</t>
  </si>
  <si>
    <t>Using LLMs to Identify Indicators of Persistence from Students’ Dialogues with a Pedagogical Agent</t>
  </si>
  <si>
    <t>Ober, Teresa M. and Zapata-Rivera, Diego and Botelho, Anthony F. and Zhang, Shan and Schroeder, Noah L.</t>
  </si>
  <si>
    <t>208 - 243</t>
  </si>
  <si>
    <t>18</t>
  </si>
  <si>
    <t xml:space="preserve">Conversational learning systems offer new opportunities to examine learning processes through chat log data. Constructs such as persistence, self-efficacy, interest, perceived challenge, and prior knowledge are known predictors of student performance but </t>
  </si>
  <si>
    <t>10.5281/zenodo.18852441</t>
  </si>
  <si>
    <t>https://www.scopus.com/pages/publications/105032456809?origin=resultslist</t>
  </si>
  <si>
    <t>construct extraction; construct validity; conversation-based assessment (CBA); educational data mining; human-LLM collaboration; large language models (LLMs); model configuration; persistence; qualitative analysis; temperature settings</t>
  </si>
  <si>
    <t>MENA: A Multimodal Framework for Analyzing Caregiver Emotions and Competencies in AR Geriatric Simulations</t>
  </si>
  <si>
    <t>Kiafar, Behdokht and Ravva, Pavan Uttej and Daher, Salam and Ahmmed Joy, Asif and Leila Barmaki, Roghayeh</t>
  </si>
  <si>
    <t>ICMI 2025 - Proceedings of the 27th International Conference on Multimodal Interaction</t>
  </si>
  <si>
    <t>181 - 190</t>
  </si>
  <si>
    <t>Improving the quality of geriatric care is a challenge that requires insights from stakeholders. While simulated trainings can boost competencies, extracting meaningful insights from these practices to enhance simulation effectiveness remains a challenge.</t>
  </si>
  <si>
    <t>10.1145/3716553.3750762</t>
  </si>
  <si>
    <t>https://www.scopus.com/pages/publications/105022241632?origin=resultslist</t>
  </si>
  <si>
    <t>Multimodal epistemic network analysis; Multimodal analytics; Data visualization; Emotion classification; Knowledge graphs</t>
  </si>
  <si>
    <t>Augmented reality; Behavioral research; Geriatrics; Human computer interaction; Human engineering; Interactive computer systems; Knowledge graph; Virtual reality; Visual analytics; Visualization; Data visualization;; Emotion classification; Emotion classi</t>
  </si>
  <si>
    <t>Exploring potential of large language models for automated essay scoring in education</t>
  </si>
  <si>
    <t>Mughal, Nimra and Imran, Ali Shariq and Daudpota, Sher Muhammad and Kastrati, Zenun and Noor, Waheed</t>
  </si>
  <si>
    <t>Discover Artificial Intelligence</t>
  </si>
  <si>
    <t>The assessment of open-ended written work is of vital importance to the student learning experience. Conventional essay grading methods heavily depend on expert manual assessment, making them susceptible to errors due to fatigue, bias, and subjectivity. T</t>
  </si>
  <si>
    <t>10.1007/s44163-026-01002-y</t>
  </si>
  <si>
    <t>https://www.scopus.com/pages/publications/105030708166?origin=resultslist</t>
  </si>
  <si>
    <t>Assessment; Automated essay scoring; Education; LLMs; Transformers; Writing evaluation</t>
  </si>
  <si>
    <t>Artificial intelligence; Benchmarking; Students; Assessment; Automated essay scoring; Benchmark datasets; Grading methods; Language model; Large language model; Scoring systems; Student learning experiences; Transformer; Writing evaluation; Automation; Gr</t>
  </si>
  <si>
    <t>Springer Nature</t>
  </si>
  <si>
    <t>27310809</t>
  </si>
  <si>
    <t>Research on the Construction of a Smart Learning Model for Cross-Border E-Commerce Major in Hunan Vocational Colleges under the Orientation of Professional Competency</t>
  </si>
  <si>
    <t>Feng, Song and Zhou, Quan and Chen, Shuang and She, Huijuan</t>
  </si>
  <si>
    <t>Proceedings of 2026 3rd International Conference on Informatics Education and Computer Technology Applications, IECA 2026</t>
  </si>
  <si>
    <t>415 - 420</t>
  </si>
  <si>
    <t>With the rapid expansion of global digital trade, cross-border e-commerce has emerged as a vital component of international commerce, creating an urgent demand for highly skilled professionals. Vocational colleges in Hunan Province, a key logistics and tr</t>
  </si>
  <si>
    <t>10.1145/3802133.3802201</t>
  </si>
  <si>
    <t>https://www.scopus.com/pages/publications/105038726751?origin=resultslist</t>
  </si>
  <si>
    <t>Cross-border e-commerce; educational reform; professional competency; smart learning; vocational colleges in Hunan</t>
  </si>
  <si>
    <t>Apprentices; Big data; E-learning; Education computing; Electronic commerce; Feedback; Information management; International trade; Learning systems; Professional aspects; Students; Cross-border; Cross-border e-commerce; E- commerces; Educational reforms;</t>
  </si>
  <si>
    <t>Multi-type factors representation learning for deep learning-based knowledge tracing</t>
  </si>
  <si>
    <t>He, Liangliang and Tang, Jintao and Li, Xiao and Wang, Pancheng and Chen, Feng and Wang, Ting</t>
  </si>
  <si>
    <t>World Wide Web</t>
  </si>
  <si>
    <t>1343 - 1372</t>
  </si>
  <si>
    <t>Knowledge Tracing (KT) refers to the problem of predicting future learner performance given their historical interactions with e-learning platforms. Recent years, Deep Learning-based Knowledge Tracing (DLKT) methods show superior performance than traditio</t>
  </si>
  <si>
    <t>10.1007/s11280-022-01041-2</t>
  </si>
  <si>
    <t>https://www.scopus.com/pages/publications/85129233283?origin=resultslist</t>
  </si>
  <si>
    <t>Deep learning; Knowledge tracing; Learner modeling; Representation learning</t>
  </si>
  <si>
    <t>Deep learning; Deep learning; E-learning platforms; Embeddings; Knowledge tracings; Learner modeling; Performance; Related factors; Representation learning; Tracing method; Tracing model; Embeddings</t>
  </si>
  <si>
    <t>1386145X</t>
  </si>
  <si>
    <t>Cited by: 20</t>
  </si>
  <si>
    <t>A Comparative Study of Large Language Models in Programming Education: Accuracy, Efficiency, and Feedback in Student Assignment Grading</t>
  </si>
  <si>
    <t>Bernik, Andrija and Radošević, Danijel and Čep, Andrej</t>
  </si>
  <si>
    <t>Programming education traditionally requires extensive manual assessment of student assignments, which is both time-consuming and resource-intensive for instructors. Recent advances in large language models (LLMs) open opportunities for automating this pr</t>
  </si>
  <si>
    <t>10.3390/app151810055</t>
  </si>
  <si>
    <t>https://www.scopus.com/pages/publications/105017230877?origin=resultslist</t>
  </si>
  <si>
    <t>AI-assisted grading; automated feedback; ChatGPT; educational technology; large language models; programming education</t>
  </si>
  <si>
    <t>Artificial intelligence; Automation; Computer programming languages; Computer systems programming; Curricula; Education computing; Educational technology; Engineering education; Feedback; Grading; Learning systems; Quality control; Students; Teaching; Art</t>
  </si>
  <si>
    <t>Cited by: 9; All Open Access; Gold Open Access; Green Open Access</t>
  </si>
  <si>
    <t>Children's play and problem-solving in motion-based learning technologies using a multi-modal mixed methods approach</t>
  </si>
  <si>
    <t>Lee-Cultura, Serena and Sharma, Kshitij and Giannakos, Michail</t>
  </si>
  <si>
    <t>International Journal of Child-Computer Interaction</t>
  </si>
  <si>
    <t xml:space="preserve">Motion-Based Learning Technologies (MBLT) offer a promising approach for integrating play and problem-solving behaviour within children's learning. The proliferation of sensor technology has driven the field of learning technology towards the development </t>
  </si>
  <si>
    <t>10.1016/j.ijcci.2021.100355</t>
  </si>
  <si>
    <t>https://www.scopus.com/pages/publications/85111972942?origin=resultslist</t>
  </si>
  <si>
    <t>Cognitive Load Theory; Educational Technologies; Embodied Interaction; Learning Analytics; MMLA; Multi-Modal mixed methods approach; Multimodal data; Sensors</t>
  </si>
  <si>
    <t>22128689</t>
  </si>
  <si>
    <t>Cited by: 60; All Open Access; Green Open Access; Hybrid Gold Open Access</t>
  </si>
  <si>
    <t>Modeling the Dynamics and Autoregressive Tendencies of Metacognitive Judgment Accuracy during Complex Learning</t>
  </si>
  <si>
    <t>Wiedbusch, Megan D. and Dever, Daryn and Delgado, Tara and Azevedo, Roger</t>
  </si>
  <si>
    <t>International Journal of Artificial Intelligence in Education</t>
  </si>
  <si>
    <t>3943 - 3978</t>
  </si>
  <si>
    <t>35</t>
  </si>
  <si>
    <t>Theoretical models of self-regulated learning emphasize the role of metacognitive monitoring and regulation in deploying accurate cognitive, affective, metacognitive, motivational, and social processes to improve learning outcomes. Many of these models id</t>
  </si>
  <si>
    <t>10.1007/s40593-025-00522-5</t>
  </si>
  <si>
    <t>https://www.scopus.com/pages/publications/105019399321?origin=resultslist</t>
  </si>
  <si>
    <t>Autoregressive modeling; Metacognitive judgments; Predictive modeling; Self-regulated learning</t>
  </si>
  <si>
    <t>Artificial intelligence; Autoregressive moving average model; Computer aided instruction; Multimedia systems; Prediction models; Random processes; Auto-regressive; Autoregressive modelling; Complex learning; Individual levels; Metacognitive judgments; Met</t>
  </si>
  <si>
    <t>15604292</t>
  </si>
  <si>
    <t>Employment analysis of fresh college students combined with computer data intelligent mining analysis</t>
  </si>
  <si>
    <t>Li, Xinyan and Song, Wanhe</t>
  </si>
  <si>
    <t>International Journal of Intelligent Computing and Cybernetics</t>
  </si>
  <si>
    <t>515 - 544</t>
  </si>
  <si>
    <t>19</t>
  </si>
  <si>
    <t>Purpose – Faced with the structural employment contradiction (background) caused by the growth of more than 15% in the gross enrollment rate of higher education and the acceleration of technological iteration in the process of globalization, this paper ai</t>
  </si>
  <si>
    <t>10.1108/IJICC-09-2025-0645</t>
  </si>
  <si>
    <t>https://www.scopus.com/pages/publications/105030618539?origin=resultslist</t>
  </si>
  <si>
    <t>College students; Data mining; Employment; Hypergraph network</t>
  </si>
  <si>
    <t>Arts computing; Computer privacy; Data accuracy; Data mining; Data privacy; Forecasting; Intelligent systems; Job analysis; Learning systems; Machine learning; Students; Accuracy rate; College students; Data imbalance; Design/methodology/approach; Dynamic</t>
  </si>
  <si>
    <t>1756378X</t>
  </si>
  <si>
    <t>Fair and Transparent Student Admission Prediction Using Machine Learning Models</t>
  </si>
  <si>
    <t>Raftopoulos, George and Davrazos, Gregory and Kotsiantis, Sotiris</t>
  </si>
  <si>
    <t>Algorithms</t>
  </si>
  <si>
    <t>17</t>
  </si>
  <si>
    <t>Student admission prediction is a crucial aspect of academic planning, offering insights into enrollment trends, resource allocation, and institutional growth. However, traditional methods often lack the ability to address fairness and transparency, leadi</t>
  </si>
  <si>
    <t>10.3390/a17120572</t>
  </si>
  <si>
    <t>https://www.scopus.com/pages/publications/85213441325?origin=resultslist</t>
  </si>
  <si>
    <t>ethical AI in education; fairmachine learning; student admission prediction</t>
  </si>
  <si>
    <t>Contrastive Learning; Federated learning; Prediction models; Resource allocation; Students; Decision tree method; Decision-making process; Ensemble methods; Ethical AI in education; Fairmachine learning; Interpretability; Logistics regressions; Machine le</t>
  </si>
  <si>
    <t>19994893</t>
  </si>
  <si>
    <t>Cited by: 20; All Open Access; Gold Open Access; Green Open Access</t>
  </si>
  <si>
    <t>2025 International Conference on Data Science, Agents and Artificial Intelligence, ICDSAAI 2025</t>
  </si>
  <si>
    <t>Predicting student academic performance effectively remains challenging due to the dynamic nature of learning behavior and the complex interplay of factors affecting student success. This paper introduces Academic Temporal Pattern Mining (ATPM), a novel a</t>
  </si>
  <si>
    <t>https://www.scopus.com/pages/publications/105007979568?origin=resultslist</t>
  </si>
  <si>
    <t>academic analytics; educational data mining; hybrid machine learning; student performance prediction; temporal pattern mining</t>
  </si>
  <si>
    <t>Data mining; Learning systems; Machine learning; Students; Academic analytic; Academic performance; Educational data mining; Hybrid machine learning; Machine learning approaches; Performance prediction; Student performance; Student performance prediction;</t>
  </si>
  <si>
    <t>Enhancing Student Graduation Prediction with Integrated Deep Learning under Data Constraints</t>
  </si>
  <si>
    <t>Son, Nguyen Thi Kim and Vinh, Tran Doan and Quynh, Nguyen Huu and Tao, Ngo Quoc and Hop, Dang Trong and Minh, Bui Tuan</t>
  </si>
  <si>
    <t>Data Intelligence</t>
  </si>
  <si>
    <t>8</t>
  </si>
  <si>
    <t>This paper introduces AWG-GC, a novel and unified deep learning framework for predicting student graduation classification under data-scarce conditions. Unlike prior approaches that treat representation learning, data augmentation, and classification as s</t>
  </si>
  <si>
    <t>10.3724/2096-7004.di.2025.0071</t>
  </si>
  <si>
    <t>https://www.scopus.com/pages/publications/105045487212?origin=resultslist</t>
  </si>
  <si>
    <t>Autoencoder; Graduation classification; Graphormer; Limited training samples; Wasserstein generative adversarial network</t>
  </si>
  <si>
    <t>Deep learning; Labeled data; Learning systems; Sampling; Students; Adversarial networks; Auto encoders; Condition; Data constraints; Graduation classification; Graphorme; Learning frameworks; Limited training sample; Training sample; Wasserstein generativ</t>
  </si>
  <si>
    <t>Science Press</t>
  </si>
  <si>
    <t>20967004</t>
  </si>
  <si>
    <t>An innovative model fusion algorithm to improve the recall rate of peer-to-peer lending default customers</t>
  </si>
  <si>
    <t>Liu, Zhida and Zhang, Zhenyu and Yang, Hongwei and Wang, Guoqiang and Xu, Zhenwei</t>
  </si>
  <si>
    <t>Intelligent Systems with Applications</t>
  </si>
  <si>
    <t>20</t>
  </si>
  <si>
    <t>Peer-to-peer (P2P) lending is a fintech innovation that provides loans to individuals and businesses without the need for additional intermediaries. However, if the borrower fails to repay the loan on time, the bank suffers a financial loss due to the bor</t>
  </si>
  <si>
    <t>10.1016/j.iswa.2023.200272</t>
  </si>
  <si>
    <t>https://www.scopus.com/pages/publications/85169024444?origin=resultslist</t>
  </si>
  <si>
    <t>Credit default prediction; Improve recall rate; Machine learning; P2P lending; Stacking ensemble learning</t>
  </si>
  <si>
    <t xml:space="preserve">Finance; Learning algorithms; Learning systems; Losses; Machine learning; Risk assessment; Sales; Credit default prediction; Default risk; Ensemble learning; Improve recall rate; Machine-learning; Model fusion; P2P lending; Recall rate; Stacking ensemble </t>
  </si>
  <si>
    <t>26673053</t>
  </si>
  <si>
    <t>Cited by: 19; All Open Access; Gold Open Access; Green Open Access</t>
  </si>
  <si>
    <t>A Comprehensive Face Parsing Framework for Anxiety Detection Using Deep Learning</t>
  </si>
  <si>
    <t>Panickar, Suja Sreejith and Gayathri, P.</t>
  </si>
  <si>
    <t>IEEE Access</t>
  </si>
  <si>
    <t>175136 - 175160</t>
  </si>
  <si>
    <t>The increasing number of adolescents suffering from anxiety highlights the need for Anxiety Detection systems. Although there are some conventional systems based on face modality, there is a compelling need for an end-to-end framework with a focus on earl</t>
  </si>
  <si>
    <t>10.1109/ACCESS.2025.3612325</t>
  </si>
  <si>
    <t>https://www.scopus.com/pages/publications/105016755930?origin=resultslist</t>
  </si>
  <si>
    <t>Affective computing; anxiety detection; deep learning; emotion detection; face parsing; facial emotion recognition; FER; healthcare; mental health; occlusion</t>
  </si>
  <si>
    <t>Convolutional neural networks; Emotion Recognition; Face recognition; Health care; Human computer interaction; Image segmentation; Medical computing; Psychology computing; Affective Computing; Anxiety detection; Deep learning; Emotion detection; Emotion r</t>
  </si>
  <si>
    <t>21693536</t>
  </si>
  <si>
    <t>Text-based Question Difficulty Prediction: A Systematic Review of Automatic Approaches</t>
  </si>
  <si>
    <t>AlKhuzaey, Samah and Grasso, Floriana and Payne, Terry R. and Tamma, Valentina</t>
  </si>
  <si>
    <t>862 - 914</t>
  </si>
  <si>
    <t>Designing and constructing pedagogical tests that contain items (i.e. questions) which measure various types of skills for different levels of students equitably is a challenging task. Teachers and item writers alike need to ensure that the quality of ass</t>
  </si>
  <si>
    <t>10.1007/s40593-023-00362-1</t>
  </si>
  <si>
    <t>https://www.scopus.com/pages/publications/85170092114?origin=resultslist</t>
  </si>
  <si>
    <t>Assessment; Difficulty Prediction; Machine Learning; Natural Language Processing; Question Difficulty; Systematic Review</t>
  </si>
  <si>
    <t>Computer aided instruction; Learning algorithms; Natural language processing systems; Semantics; Students; Subjective testing; Supervised learning; Assessment; Difficulty prediction; Item difficulties; Language processing; Machine-learning; Natural langua</t>
  </si>
  <si>
    <t>Cited by: 41; All Open Access; Hybrid Gold Open Access</t>
  </si>
  <si>
    <t>High-Quality Classroom Dialogue Automatic Analysis System</t>
  </si>
  <si>
    <t>Jia, Linzhao and Sun, Han and Jiang, Jialong and Yang, Xiaozhe</t>
  </si>
  <si>
    <t>Classroom dialogue analysis is crucial as it significantly impacts both knowledge transmission and teacher–student interactions. Since the inception of classroom analysis research, traditional methods such as manual transcription and coding have served as</t>
  </si>
  <si>
    <t>10.3390/app15031613</t>
  </si>
  <si>
    <t>https://www.scopus.com/pages/publications/85217579731?origin=resultslist</t>
  </si>
  <si>
    <t>artificial intelligence in education; classroom dialogue; dialogue analysis system</t>
  </si>
  <si>
    <t>Contrastive Learning; Deep learning; Large datasets; Speech enhancement; Teaching; Analysis system; Artificial intelligence in education; Automatic analysis; Classroom dialog; Dialog analyze system; Dialogue analysis; High quality; Knowledge transmissions</t>
  </si>
  <si>
    <t>Cited by: 7; All Open Access; Gold Open Access; Green Open Access</t>
  </si>
  <si>
    <t>Augmented Reality-Problem Solving Lab: Does It Foster Elementary Students’ Understanding of Submicroscopic Phenomena in Physics?</t>
  </si>
  <si>
    <t>Ismail, Ali and Isrokatun, I. and Sari, Lasmita and Bhakti, Demmy Dharma and Kemalia, Lula Dwi</t>
  </si>
  <si>
    <t>922 - 929</t>
  </si>
  <si>
    <t>Electrical concepts are difficult for students to understand because they involve abstract concepts that cannot be seen with the naked eye, making it necessary to use technology to visualize submicroscopic levels of electrical concepts. One method that ca</t>
  </si>
  <si>
    <t>10.18178/ijiet.2025.15.5.2298</t>
  </si>
  <si>
    <t>https://www.scopus.com/pages/publications/105006646273?origin=resultslist</t>
  </si>
  <si>
    <t>electricity; level of understanding; PSLab AR</t>
  </si>
  <si>
    <t>Graph-Based Lexical Networks for Technical Vocabulary Expansion in IoT-Enabled Education Platforms</t>
  </si>
  <si>
    <t>Babanazarova, Sohiba and Muxibova, Ulpatxon and Sattorova, Zilola and Ziyadulloyeva, Mohidil and Jakbarova, Iroda and Tojiyev, Husniddin</t>
  </si>
  <si>
    <t>2025 2nd International Conference on Intelligent Technologies for Sustainable Electric and Communications Systems, iTech SECOM 2025</t>
  </si>
  <si>
    <t xml:space="preserve">The development of a number of Internet of Things (IoT)-enabled education platforms creates opportunities for flexible distribution of knowledge (in this context, technical vocabulary is fundamental to lexical knowledge acquisition). Lexical networks are </t>
  </si>
  <si>
    <t>10.1109/iTechSECOM64750.2025.11307652</t>
  </si>
  <si>
    <t>https://www.scopus.com/pages/publications/105032525090?origin=resultslist</t>
  </si>
  <si>
    <t>Adaptive Learning; Graph-based Learning; IoT Education; Lexical Networks; NLP; Technical Vocabulary</t>
  </si>
  <si>
    <t>Computer aided instruction; E-learning; Education computing; Expansion; Graph theory; Graphic methods; Knowledge acquisition; Knowledge graph; Knowledge transfer; Learning algorithms; Mergers and acquisitions; Natural language processing systems; Semantic</t>
  </si>
  <si>
    <t>Beyond the Game: Investigating Gamification Models to Enhance Digital Learning in STEM and AI Education</t>
  </si>
  <si>
    <t>Singh, Vernika and Chandra, Saurabh and Dayanand, Siri and Raj, Rohit and Jha, Prashant Bimal</t>
  </si>
  <si>
    <t>Proceedings of the 9th International Conference on I-SMAC (IoT in Social, Mobile, Analytics and Cloud), I-SMAC 2025</t>
  </si>
  <si>
    <t>1686 - 1694</t>
  </si>
  <si>
    <t>This study contrasts gamified approaches with conventional e-learning delivery methods. In numerous educational settings such as language acquisition, technology, STEM fields, and medical training, elements of gamification such as points, badges, leaderbo</t>
  </si>
  <si>
    <t>10.1109/I-SMAC65734.2025.11597623</t>
  </si>
  <si>
    <t>https://www.scopus.com/pages/publications/105045706554?origin=resultslist</t>
  </si>
  <si>
    <t>adaptive learning; AI in education; digital education; game-based learning; Gamification; learner engagement; learning analytics; STEM education</t>
  </si>
  <si>
    <t>Behavioral research; Computation theory; Computer aided instruction; E-learning; Education computing; Engineering education; Learning systems; STEM (science, technology, engineering and mathematics); Students; Teaching; Adaptive learning; AI in education;</t>
  </si>
  <si>
    <t>Detection of Biased Phrases in the Wiki Neutrality Corpus for Fairer Digital Content Management Using Artificial Intelligence</t>
  </si>
  <si>
    <t>Abdullah and Ateeb Ather, Muhammad and Kolesnikova, Olga and Sidorov, Grigori</t>
  </si>
  <si>
    <t>Big Data and Cognitive Computing</t>
  </si>
  <si>
    <t>9</t>
  </si>
  <si>
    <t>Detecting biased language in large-scale corpora, such as the Wiki Neutrality Corpus, is essential for promoting neutrality in digital content. This study systematically evaluates a range of machine learning (ML) and deep learning (DL) models for the dete</t>
  </si>
  <si>
    <t>10.3390/bdcc9070190</t>
  </si>
  <si>
    <t>https://www.scopus.com/pages/publications/105011484240?origin=resultslist</t>
  </si>
  <si>
    <t>BERT; bias detection; deep learning; GANs; LSTM; machine learning; neutrality; text analysis; Wiki Neutrality Corpus</t>
  </si>
  <si>
    <t>Adaptive boosting; Computational efficiency; Computational linguistics; Deep learning; Generative adversarial networks; Learning systems; Memory architecture; Natural language processing systems; Network architecture; Neural networks; Tellurium compounds;</t>
  </si>
  <si>
    <t>25042289</t>
  </si>
  <si>
    <t>Cognitive Implementation of Metaverse Embedded Learning and Training Framework for Drivers in Rolling Stock</t>
  </si>
  <si>
    <t>Danylec, Andrew and Shahabadkar, Krutika and Dia, Hussein and Kulkarni, Ambarish</t>
  </si>
  <si>
    <t>Machines</t>
  </si>
  <si>
    <t>10</t>
  </si>
  <si>
    <t xml:space="preserve">Public safety is prime concern in rail industry and driver training on hazard perception is crucial. Additionally, a new driver’s skill set determines the productivity and quality of existing driver training methods. Apprentice train drivers are required </t>
  </si>
  <si>
    <t>10.3390/machines10100926</t>
  </si>
  <si>
    <t>https://www.scopus.com/pages/publications/85140903734?origin=resultslist</t>
  </si>
  <si>
    <t>augmented reality; eye tracking; hazard perception; Metaverse; rolling stock; virtual reality; vision analysis</t>
  </si>
  <si>
    <t>20751702</t>
  </si>
  <si>
    <t>Cited by: 17; All Open Access; Gold Open Access; Green Open Access</t>
  </si>
  <si>
    <t>Neutrosophic Set-Based Multimodal Data Fusion for Real-Time Feedback in Immersive English Teaching Systems</t>
  </si>
  <si>
    <t>Li, Liying and Wang, Xin and Gu, Jingqian and Wang, Yu</t>
  </si>
  <si>
    <t>Proceedings of 2025 2nd International Symposium on Artificial Intelligence for Education, ISAIE 2025</t>
  </si>
  <si>
    <t>652 - 656</t>
  </si>
  <si>
    <t>Immersive English teaching systems rely on multimodal data (e.g., speech, facial expressions, gestures) to assess student performance. However, such data often exhibit uncertainty, ambiguity, and contradictions, posing challenges for accurate analysis. To</t>
  </si>
  <si>
    <t>10.1145/3775073.3775175</t>
  </si>
  <si>
    <t>https://www.scopus.com/pages/publications/105026939982?origin=resultslist</t>
  </si>
  <si>
    <t>Immersive Teaching; Multimodal Data Fusion; Neutrosophic Sets; Real-Time Feedback; Uncertainty Modeling</t>
  </si>
  <si>
    <t>Data accuracy; Data fusion; Education computing; Feedback; Human engineering; Real time systems; Students; Teaching; English teaching; Immersive; Immersive teaching; Multi-modal; Multimodal data fusion; Neutrosophic sets; Real-time feedback; Teaching syst</t>
  </si>
  <si>
    <t>A Hybrid Deep Learning Approach for Anomaly Detection in Big Data Environments</t>
  </si>
  <si>
    <t>Farhaoui, Yousef and Allaoui, Ahmad El and Amounas, Fatima and Ziani, Said and Taherdoost, Hamed and Triantafyllou, Serafeim A.</t>
  </si>
  <si>
    <t>537 - 543</t>
  </si>
  <si>
    <t>1397 LNNS</t>
  </si>
  <si>
    <t>As the volume and complexity of data generated by diverse applications continue to grow, anomaly detection in Big Data environments has become a vital challenge. This paper presents an innovative approach that leverages deep learning techniques to enhance</t>
  </si>
  <si>
    <t>10.1007/978-3-031-90921-4_73</t>
  </si>
  <si>
    <t>https://www.scopus.com/pages/publications/105007500754?origin=resultslist</t>
  </si>
  <si>
    <t>Anomaly Detection; Artificial Intelligence; Big Data; Predictive Analytics; Spatial and Temporal Dependencies</t>
  </si>
  <si>
    <t>Anomaly detection; Convolutional neural networks; Deep neural networks; Anomaly detection; Convolutional neural network; Data environment; Diverse applications; Hybrid model; Innovative approaches; Learning approach; Learning techniques; Short term memory</t>
  </si>
  <si>
    <t>A Comprehensive Content-Based Recommendation System for Programming Problems Through Multi-Faceted Code Analysis</t>
  </si>
  <si>
    <t>Muepu, Daniel M. and Watanobe, Yutaka and Ibne Amin, Md. Faizul</t>
  </si>
  <si>
    <t>93712 - 93734</t>
  </si>
  <si>
    <t>Recommending exercises in educational contexts requires balancing relevance and diversity to support effective learning progression. In such settings, content-based recommendation is particularly suitable, as it aligns with specific learning objectives an</t>
  </si>
  <si>
    <t>10.1109/ACCESS.2025.3574246</t>
  </si>
  <si>
    <t>https://www.scopus.com/pages/publications/105006752271?origin=resultslist</t>
  </si>
  <si>
    <t>content-based filtering; online judge system; programming education; Recommender systems; source code analysis</t>
  </si>
  <si>
    <t>Multiprogramming; Students; Code analysis; Content based filtering; Content-based recommendation; Educational context; Effective learning; Online judge system; Online judges; Programming education; Programming problem; Source code analysis; Recommender sy</t>
  </si>
  <si>
    <t>Cited by: 5; All Open Access; Gold Open Access; Green Open Access</t>
  </si>
  <si>
    <t>Augmenting Social Science Research with Multimodal Data Collection: The EZ-MMLA Toolkit</t>
  </si>
  <si>
    <t>Schneider, Bertrand and Hassan, Javaria and Sung, Gahyun</t>
  </si>
  <si>
    <t>Sensors</t>
  </si>
  <si>
    <t>While the majority of social scientists still rely on traditional research instruments (e.g., surveys, self-reports, qualitative observations), multimodal sensing is becoming an emerging method-ology for capturing human behaviors. Sensing technology has t</t>
  </si>
  <si>
    <t>10.3390/s22020568</t>
  </si>
  <si>
    <t>https://www.scopus.com/pages/publications/85122687553?origin=resultslist</t>
  </si>
  <si>
    <t>Computer vision; Data mining; Sensor applications and deployments</t>
  </si>
  <si>
    <t>Facial Expression; Gestures; Humans; Social Sciences; Speech; Surveys and Questionnaires; Behavioral research; Computer vision; Data mining; Eye tracking; Data collection; Human behaviors; Multi-modal data; Multimodal sensing; Qualitative observations; Re</t>
  </si>
  <si>
    <t>14248220</t>
  </si>
  <si>
    <t>Unraveling success in online learning: a ladderpath analysis of MOOCs learner interaction patterns</t>
  </si>
  <si>
    <t>Niu, Xiaojie and Zhang, Jingjing and Liu, Yu</t>
  </si>
  <si>
    <t>Data Technologies and Applications</t>
  </si>
  <si>
    <t>696 - 712</t>
  </si>
  <si>
    <t>59</t>
  </si>
  <si>
    <t>Purpose – This study aims to develop and apply a systems-based analytical methodology for understanding the complexity of learner-content interactions in Massive Open Online Courses (MOOCs). Traditional linear analysis methods primarily focus on predictiv</t>
  </si>
  <si>
    <t>10.1108/DTA-08-2024-0781</t>
  </si>
  <si>
    <t>https://www.scopus.com/pages/publications/105025424242?origin=resultslist</t>
  </si>
  <si>
    <t>Behavioral logs; Interaction complexity; Ladderpath; Learner-content interaction; MOOCs</t>
  </si>
  <si>
    <t>Behavioral research; Computer aided instruction; Contrastive Learning; Curricula; E-learning; Federated learning; Information theory; Learning systems; Predictive analytics; Behavioral log; Interaction complexity; Interaction pattern; Ladderpath; Large-sc</t>
  </si>
  <si>
    <t>25149288</t>
  </si>
  <si>
    <t>Multimodal learning analytics for students behavior prediction using multi-scale dilated deep temporal convolution network with improved chameleon Swarm algorithm</t>
  </si>
  <si>
    <t>Sridharan, Thulasi Bharathi and Sharagaharajan Akilashri, Dr Periyaswamy Sappani</t>
  </si>
  <si>
    <t>286</t>
  </si>
  <si>
    <t>Despite the necessary knowledge, a variety of aspects affect the performance of the students on a task. Students’ on-task efforts have been noted to be significantly connected with their academic performance, demonstrating how effectively the students are</t>
  </si>
  <si>
    <t>10.1016/j.eswa.2025.128113</t>
  </si>
  <si>
    <t>https://www.scopus.com/pages/publications/105005179191?origin=resultslist</t>
  </si>
  <si>
    <t>Modified Random Parameter-based Chameleon Swarm Algorithm; Multi-scale Dilated Deep Temporal Convolution Network; One Dimensional Convolutional Neural Network; Student's Behavior Prediction; Three Dimensional Convolutional Neural Network; Transformer-net</t>
  </si>
  <si>
    <t>Active learning; Deep neural networks; Modal analysis; Multi-task learning; Students; Teaching; Behavior prediction; Convolutional neural network; Modified random parameter-based chameleon swarm algorithm; Multi-scale dilated deep temporal convolution net</t>
  </si>
  <si>
    <t>Cited by: 8</t>
  </si>
  <si>
    <t>Using Game-Based Research Approaches to Gauge Children’s Perceptions: Insights from a Food Education Project</t>
  </si>
  <si>
    <t>Barreto, Nicolás Méndez and Chartofylaka, Lamprini and Maurice, Aurélie and Darcel, Nicolas and Thomopoulos, Rallou</t>
  </si>
  <si>
    <t>297 - 309</t>
  </si>
  <si>
    <t>16439 LNCS</t>
  </si>
  <si>
    <t>This paper provides insight into how gaming can be used to explore the children’s experience of food, and to envision possible future transitions in their eating habits. The case study presented is part of the ERMES project, an interdisciplinary initiativ</t>
  </si>
  <si>
    <t>10.1007/978-3-032-20129-4_20</t>
  </si>
  <si>
    <t>https://www.scopus.com/pages/publications/105035832186?origin=resultslist</t>
  </si>
  <si>
    <t>Children’s Perception; Food Education; Game-Based Research; School-Food</t>
  </si>
  <si>
    <t>Case-studies; Child’s perception; Eating habits; Food education; Game-Based; Game-based research; Possible futures; Research agency; Research approach; School-food</t>
  </si>
  <si>
    <t>Cited by: 0; All Open Access; Green Open Access; Hybrid Gold Open Access</t>
  </si>
  <si>
    <t>The Impact of Educational Informatics on School Management Decision-Making in the Context of Big Data</t>
  </si>
  <si>
    <t>Cai, Zhongqi</t>
  </si>
  <si>
    <t xml:space="preserve">International Journal of Interactive Mobile Technologies </t>
  </si>
  <si>
    <t>48 - 62</t>
  </si>
  <si>
    <t>In the domain of private education, particularly vocational education, school management encounters a complex and variable environment with diverse demands. As the advancement of educational informatics progresses, schools have accumulated a substantial a</t>
  </si>
  <si>
    <t>10.3991/ijim.v18i15.50687</t>
  </si>
  <si>
    <t>https://www.scopus.com/pages/publications/85202062929?origin=resultslist</t>
  </si>
  <si>
    <t>big data; educational informatics; multi-agent collaborative decision-making; private education; reinforcement learning; spatiotemporal data model; vocational education</t>
  </si>
  <si>
    <t>Collaborative decision making; Educational informatic; Informatics; Management decision-making; Multi agent; Multi-agent collaborative decision-making; Private educations; Reinforcement learnings; Spatiotemporal data model; Vocational education; Reinforce</t>
  </si>
  <si>
    <t>International Federation of Engineering Education Societies (IFEES)</t>
  </si>
  <si>
    <t>18657923</t>
  </si>
  <si>
    <t>Visualizing Collaboration in Teamwork: A Multimodal Learning Analytics Platform for Non-Verbal Communication</t>
  </si>
  <si>
    <t>Noël, René and Miranda, Diego and Cechinel, Cristian and Riquelme, Fabián and Primo, Tiago Thompsen and Munoz, Roberto</t>
  </si>
  <si>
    <t>Developing communication skills in collaborative contexts is of special interest for educational institutions, since these skills are crucial to forming competent professionals for today’s world. New and accessible technologies open a way to analyze colla</t>
  </si>
  <si>
    <t>10.3390/app12157499</t>
  </si>
  <si>
    <t>https://www.scopus.com/pages/publications/85136967665?origin=resultslist</t>
  </si>
  <si>
    <t>body posture; multimodal learning analytics; non-verbal communication</t>
  </si>
  <si>
    <t>Cited by: 25; All Open Access; Gold Open Access; Green Open Access</t>
  </si>
  <si>
    <t>How Helpful is AI, Really? Quantifying the Impact of Various Platforms on Student Exam Outcomes</t>
  </si>
  <si>
    <t>Oikonomou, Aspasia and Savvas, Ilias K.</t>
  </si>
  <si>
    <t>2025 33rd Telecommunications Forum, TELFOR 2025 - Proceedings of Papers</t>
  </si>
  <si>
    <t>Teaching Quantum Computing is challenging. This study investigated if Artificial Intelligence (ChatGPT-4, Gemini 1.5 Pro, DeepSeek-V3) could enhance learning compared to traditional methods for University students without a strong background in physics. R</t>
  </si>
  <si>
    <t>10.1109/TELFOR67910.2025.11314381</t>
  </si>
  <si>
    <t>https://www.scopus.com/pages/publications/105031901866?origin=resultslist</t>
  </si>
  <si>
    <t>Artificial Intelligence; Comparative A.I. platforms; Quantum Computing; Quantum Literacy</t>
  </si>
  <si>
    <t>Education computing; Quantum theory; Students; Teaching; Comparative AI platform; Enhance learning; Quantum Computing; Quantum literacy; University students; Artificial intelligence</t>
  </si>
  <si>
    <t>From Exposure to Expertise: Enhancing Cybersecurity Training in the Internet of Cloud (IoC)</t>
  </si>
  <si>
    <t>Tsouplaki, Asimina and Kalloniatis, Christos</t>
  </si>
  <si>
    <t>Proceedings - 28th Pan-Hellenic Conference on Progress in Computing and Informatics with International Participation, PCI 2024</t>
  </si>
  <si>
    <t>63 - 69</t>
  </si>
  <si>
    <t>The Internet of Cloud (IoC) which is the synthesis of Cloud Computing (CC) and the Internet of Things (IoT), introduces significant security challenges and vulnerabilities. To address these challenges requires focused, gamified, and tailored cybersecurity</t>
  </si>
  <si>
    <t>10.1145/3716554.3716564</t>
  </si>
  <si>
    <t>https://www.scopus.com/pages/publications/105010765946?origin=resultslist</t>
  </si>
  <si>
    <t>AI; Cybersecurity Training; Internet of Cloud; LMS</t>
  </si>
  <si>
    <t>Cloud security; Cybersecurity; Gamification; Internet of things; Learning systems; Network security; Personnel training; Cloud-computing; Cyber security; Cybersecurity training; Gamification; Internet of cloud; Learning management system; Security challen</t>
  </si>
  <si>
    <t>Data-Driven Framework for Optimizing Internship Efficiency and Addressing Skills Mismatch in Malaysian Higher Education</t>
  </si>
  <si>
    <t>Abas, Ashardi and Ibrahim, Mohd Mokhzani Bin and Azmi, N.H.</t>
  </si>
  <si>
    <t>22nd International Learning and Technology Conference: Human-Machine Dynamics Fueling a Sustainable Future, L and T 2025</t>
  </si>
  <si>
    <t>280 - 285</t>
  </si>
  <si>
    <t>The persistent skills mismatch between higher education outcomes and labour market needs presents a significant challenge for graduate employability, particularly in fast-evolving sectors such as artificial intelligence (AI) and data science. This paper i</t>
  </si>
  <si>
    <t>10.1109/LT64002.2025.10940990</t>
  </si>
  <si>
    <t>https://www.scopus.com/pages/publications/105002925947?origin=resultslist</t>
  </si>
  <si>
    <t>Advanced Placement Systems; Internship Placement; Learning Management Systems; Skills Mismatch</t>
  </si>
  <si>
    <t xml:space="preserve">Apprentices; Curricula; Employment; Human resource management; Students; Wages; Advanced placement system; Advanced placements; Data driven; High educations; Internship placements; Labour market; Learning management system; Profiling systems; Real- time; </t>
  </si>
  <si>
    <t>AI-Driven Alignment of Educational Programs with Industry Needs and Emerging Skillsets</t>
  </si>
  <si>
    <t>Satheeskumar, R. and Satyanarayana, Ch. V. and Kumar, Talatoti Ratna and Koteswara Rao, M. and Suresh, M.</t>
  </si>
  <si>
    <t>International Journal of Modern Education and Computer Science</t>
  </si>
  <si>
    <t>15 - 28</t>
  </si>
  <si>
    <t xml:space="preserve">This research investigates the transformative potential of Artificial Intelligence (AI) in aligning educational programs with industry requirements and emerging skill sets. Developed and preliminarily tested an AI-driven framework designed to personalize </t>
  </si>
  <si>
    <t>10.5815/ijmecs.2025.03.02</t>
  </si>
  <si>
    <t>https://www.scopus.com/pages/publications/105007944182?origin=resultslist</t>
  </si>
  <si>
    <t>Adaptive learning; Artificial Intelligence; Emerging skillsets; Future skills; Industry needs; Machine learning</t>
  </si>
  <si>
    <t>Modern Education and Computer Science Press</t>
  </si>
  <si>
    <t>20750161</t>
  </si>
  <si>
    <t>Cited by: 7; All Open Access; Gold Open Access</t>
  </si>
  <si>
    <t>AI-Driven Innovations in Adult EFL Learning: Exploring Potentials and Practicalities</t>
  </si>
  <si>
    <t>Balla, Asjad Ahmed Saeed and Abdalgane, Mohammed and Ahmed, Awwad Othman Abdelaziz and Osman, Eshraga</t>
  </si>
  <si>
    <t>4 - 26</t>
  </si>
  <si>
    <t>In a worldwide world, adults must master numerous languages, which is difficult. Recent brain research reveals that high proficiency can be attained with minimal practice, while artificial intelligence (AI) advances offer targeted and efficient language e</t>
  </si>
  <si>
    <t>10.3991/ijim.v19i08.52295</t>
  </si>
  <si>
    <t>https://www.scopus.com/pages/publications/105004891238?origin=resultslist</t>
  </si>
  <si>
    <t>adaptive learning systems enhancing; adult learning; artificial intelligence (AI)-enhanced learning methods; assessment; feedback; online</t>
  </si>
  <si>
    <t>Active learning; Adversarial machine learning; Contrastive Learning; Ethical technology; Supervised learning; Adaptive learning system enhancing; Adaptive learning systems; Adult learners; Adult learning; Artificial intelligence -enhanced learning method;</t>
  </si>
  <si>
    <t>Cited by: 5; All Open Access; Gold Open Access</t>
  </si>
  <si>
    <t>Comparing fourth-year medical students’ procedural surgical skill learning outcomes between third-person point-of-view video lectures and first-person point-of-view immersive virtual reality: a pilot study of surgically implanting a subdermal drain on cad</t>
  </si>
  <si>
    <t>Neuwirth, Lorenz S. and Ng, Sam and Devors, Sandrine and Lonjon, Nicolas and Ros, Maxime</t>
  </si>
  <si>
    <t>Frontiers in Virtual Reality</t>
  </si>
  <si>
    <t>5</t>
  </si>
  <si>
    <t>The use of virtual reality (VR) training in medical school education has increased over the last decade partly due to coronavirus-19 (COVID-19) and due to technology advancements in this integrative area. As medical students are being trained in new pedag</t>
  </si>
  <si>
    <t>10.3389/frvir.2024.1408092</t>
  </si>
  <si>
    <t>https://www.scopus.com/pages/publications/85206377210?origin=resultslist</t>
  </si>
  <si>
    <t>cadavers; first-person point-of-view; immersive virtual reality; medical students; Revinax Handbook&lt;sup&gt;®&lt;/sup&gt;; subdermal drain; surgical procedural motor skills; third-person point-of-view</t>
  </si>
  <si>
    <t>26734192</t>
  </si>
  <si>
    <t>Reflecting Upon the Unintended Consequences of Personal Informatics Systems: A Systematic Review of Empirical Studies</t>
  </si>
  <si>
    <t>Luo, Yuhan and Gui, Xinning and Ding, Xianghua and Zheng, Xi and Hernandez, Rie Helene and Li, Zhuoyang and Song, Qiurong</t>
  </si>
  <si>
    <t>DIS 2025 - Proceedings of the 2025 ACM Designing Interactive Systems Conference</t>
  </si>
  <si>
    <t>2847 - 2866</t>
  </si>
  <si>
    <t>The HCI community has been actively developing and studying the use of Personal Informatics (PI) systems. While celebrating the headways, researchers have uncovered many unintended consequences of using PI systems, such as data-induced stress and obsessiv</t>
  </si>
  <si>
    <t>10.1145/3715336.3735746</t>
  </si>
  <si>
    <t>https://www.scopus.com/pages/publications/105020667802?origin=resultslist</t>
  </si>
  <si>
    <t>personal data; Personal informatics; self-tracking; systematic review</t>
  </si>
  <si>
    <t>Behavioral research; Engineering research; Human engineering; Empirical studies; Induced stress; Informatics research; Informatics systems; Personal informatics; Self-tracking; Systematic analysis; Systematic Review; Underlying cause; Unintended consequen</t>
  </si>
  <si>
    <t>Cited by: 16; All Open Access; Gold Open Access; Green Open Access</t>
  </si>
  <si>
    <t>Integration of Collaborative Filtering Into Naive Bayes Method to Enhance Student Performance Prediction</t>
  </si>
  <si>
    <t>Nakhipova, Venera and Bulbul, Halil Ibrahim and Kerimbekov, Yerzhan and Suleimenova, Laura and Umarova, Zhanat and Adylbekova, Elvira</t>
  </si>
  <si>
    <t>International Journal of Information and Communication Technology Education</t>
  </si>
  <si>
    <t xml:space="preserve">This article introduces a novel method that integrates collaborative filtering into the naive Bayes model to enhance predicting student academic performance. The combined approach leverages collaborative user behavior analysis and probabilistic modeling, </t>
  </si>
  <si>
    <t>10.4018/IJICTE.352512</t>
  </si>
  <si>
    <t>https://www.scopus.com/pages/publications/85202784454?origin=resultslist</t>
  </si>
  <si>
    <t>Collaborative Filtering; Educational Data Mining; Hybrid Method; Machine Learning; Naive Bayes; Student Performance Prediction</t>
  </si>
  <si>
    <t>Adversarial machine learning; Collaborative filtering; Wiener filtering; Bayes method; Collaborative patterns; Educational data mining; Hybrid method; Machine-learning; Naive bayes; Novel methods; Performance prediction; Student performance; Student perfo</t>
  </si>
  <si>
    <t>15501876</t>
  </si>
  <si>
    <t>Feedback on Student Programming Assignments: Teaching Assistants vs Automated Assessment Tool</t>
  </si>
  <si>
    <t>Kristiansen, Nynne Grauslund and Nicolajsen, Sebastian Mateos and Brabrand, Claus</t>
  </si>
  <si>
    <t>Existing research does not quantify and compare the differences between automated and manual assessment in the context of feedback on programming assignments. This makes it hard to reason about the effects of adopting automated assessment at the expense o</t>
  </si>
  <si>
    <t>10.1145/3631802.3631804</t>
  </si>
  <si>
    <t>https://www.scopus.com/pages/publications/85185534916?origin=resultslist</t>
  </si>
  <si>
    <t>automated assessment; feedback; student experiments; teaching assistants</t>
  </si>
  <si>
    <t>Automation; Budget control; Cost benefit analysis; Students; Assessment tool; Automated assessment; Condition; Controlled experiment; Cost and benefits; Cost-benefits analysis; Programming assignments; Student experiments; Student perspectives; Teaching a</t>
  </si>
  <si>
    <t>Cited by: 6; All Open Access; Gold Open Access; Green Open Access</t>
  </si>
  <si>
    <t>Research on building energy consumption anomaly detection based on data mining technology</t>
  </si>
  <si>
    <t>Wei, Wei</t>
  </si>
  <si>
    <t>Proceedings of the 2nd International Conference on Image Processing, Machine Learning, and Pattern Recognition, IPMLP 2025</t>
  </si>
  <si>
    <t>143 - 147</t>
  </si>
  <si>
    <t>To enhance the accuracy of anomaly detection in building energy consumption management, this study develops a hybrid detection model that integrates the Isolated Forest and Self-Encoder within a data mining framework. By analyzing the time periodicity and</t>
  </si>
  <si>
    <t>10.1145/3759928.3759952</t>
  </si>
  <si>
    <t>https://www.scopus.com/pages/publications/105020670523?origin=resultslist</t>
  </si>
  <si>
    <t>Anomaly detection; Building energy consumption; Data mining; isolated forest; Self-encoder</t>
  </si>
  <si>
    <t>Data mining; Energy utilization; Forestry; Green computing; Information management; Learning algorithms; Unsupervised learning; Anomaly detection; Building energy consumption; Data mining frameworks; Data mining technology; Detection models; Fluctuation c</t>
  </si>
  <si>
    <t>Evaluation of Machine Learning Models to Predict Student Academic Performance Using Structured Educational Data</t>
  </si>
  <si>
    <t>Patel, Hardik Ishwarbhai and Patel, Dharmendra</t>
  </si>
  <si>
    <t>Journal of Computer Science</t>
  </si>
  <si>
    <t>1721 - 1742</t>
  </si>
  <si>
    <t>This study analyses the use of machine learning for predicting the academic performance of students using their academic information from the institution, combined with socio-economic information that comes from outside sources. The collection of informat</t>
  </si>
  <si>
    <t>10.3844/jcssp.2026.1721.1742</t>
  </si>
  <si>
    <t>https://www.scopus.com/pages/publications/105040405894?origin=resultslist</t>
  </si>
  <si>
    <t>Cross Validation; Exploratory Data Analysis; Gradient Boosting; Logistic Regression; Machine Learning; Naïve Bayes; SVR; XGBoost</t>
  </si>
  <si>
    <t>Science Publications</t>
  </si>
  <si>
    <t>15493636</t>
  </si>
  <si>
    <t>Optimizing Personalized Learning Path Planning and Resource Recommendation Using Reinforcement Learning</t>
  </si>
  <si>
    <t>Li, Jing</t>
  </si>
  <si>
    <t>2026 IEEE 18th International Conference on Computational Intelligence and Communication Networks, CICN 2026</t>
  </si>
  <si>
    <t>512 - 519</t>
  </si>
  <si>
    <t xml:space="preserve">To address the problem that traditional methods separate learning path planning and resource recommendation, rely on static rules, and struggle to form dynamic closed-loop decision optimization, this paper proposes a joint optimization framework based on </t>
  </si>
  <si>
    <t>10.1109/CICN70047.2026.11594149</t>
  </si>
  <si>
    <t>https://www.scopus.com/pages/publications/105045434437?origin=resultslist</t>
  </si>
  <si>
    <t>Adaptive Learning Systems; Deep Q-Network; Hierarchical Reinforcement Learning; Personalized Learning Path Planning; Resource Recommendation</t>
  </si>
  <si>
    <t>Behavioral research; Efficiency; Feedback; Hierarchical systems; Learning systems; Long short-term memory; Markov processes; Motion planning; Adaptive learning systems; Deep Q-network; Hierarchical reinforcement learning; Joint optimization; Learning path</t>
  </si>
  <si>
    <t>Enhancing Student Outcomes: Machine Learning Stacked Classifiers in Higher Education</t>
  </si>
  <si>
    <t>Nadim, Muhammad Amin and Marsico, Emanuele and Basta, Angelo</t>
  </si>
  <si>
    <t>151 - 171</t>
  </si>
  <si>
    <t>2467 CCIS</t>
  </si>
  <si>
    <t>University dropout rates in Europe pose a significant challenge to achieving the European Union’s target of 45% higher education attainment among 25–34-year-olds by 2030. This pilot study introduces an innovative framework, the Integrated Theory-Driven ML</t>
  </si>
  <si>
    <t>10.1007/978-3-031-94002-6_12</t>
  </si>
  <si>
    <t>https://www.scopus.com/pages/publications/105014492745?origin=resultslist</t>
  </si>
  <si>
    <t>Artificial Intelligence; Dropout; Higher Education; Machine Learning; Machine Learning Stacked Classifiers</t>
  </si>
  <si>
    <t>Adaptive boosting; Education computing; Learning systems; Students; Dropout; European union; Gradient boosting; High educations; Machine learning stacked classifier; Machine learning techniques; Machine-learning; Pilot studies; Student outcomes; Support v</t>
  </si>
  <si>
    <t>Cited by: 1; All Open Access; Hybrid Gold Open Access</t>
  </si>
  <si>
    <t>360-Degree Cameras vs Traditional Cameras in Multimodal Learning Analytics: Comparative Study of Facial Recognition and Pose Estimation</t>
  </si>
  <si>
    <t>Rajarathinam, Robin Jephthah and Kang, Jina and Palaguachi, Chris</t>
  </si>
  <si>
    <t>157 - 182</t>
  </si>
  <si>
    <t>Multimodal Learning Analytics (MMLA) has emerged as a powerful approach within the computer-supported collaborative learning community, offering nuanced insights into learning processes through diverse data sources. Despite its potential, the prevalent re</t>
  </si>
  <si>
    <t>10.5281/zenodo.14966499</t>
  </si>
  <si>
    <t>https://www.scopus.com/pages/publications/105011398038?origin=resultslist</t>
  </si>
  <si>
    <t>affect detection; computer-supported collaborative learning; engagement; facial features; multimodal learning analytics; pose estimation; video recording</t>
  </si>
  <si>
    <t>Cognitive Web Service-Based Learning Analytics in Education Systems Using Big Data Analytics</t>
  </si>
  <si>
    <t>Bin, Li</t>
  </si>
  <si>
    <t>International Journal of e-Collaboration</t>
  </si>
  <si>
    <t>In the field of education, digital learning plays an important part. For each passing day, digital learning is displacing the traditional method of education. An accurate analysis of a student’s qualities improves their academic performance. With the adva</t>
  </si>
  <si>
    <t>10.4018/IJeC.316658</t>
  </si>
  <si>
    <t>https://www.scopus.com/pages/publications/85147736630?origin=resultslist</t>
  </si>
  <si>
    <t>Big Data; Clustering; Cognitive web service; Data Mining; Digitization of Learning; ECBDMS; Education; Learning Analytics</t>
  </si>
  <si>
    <t>Big data; Cluster analysis; Cognitive systems; Computer aided instruction; Data Analytics; E-learning; Knowledge management; Learning systems; Web services; Websites; Clusterings; Cognitive web service; Data mining system; Digitisation; Digitization of le</t>
  </si>
  <si>
    <t>15483673</t>
  </si>
  <si>
    <t>Let’s Play a Game: From the Classroom to the Boardroom–The Integration of Serious Games Into the Cyber Security Educational Pathway</t>
  </si>
  <si>
    <t>Caple, Ian and Halek, Basel and Sassone, Vlad</t>
  </si>
  <si>
    <t>60 - 82</t>
  </si>
  <si>
    <t>1791 LNNS</t>
  </si>
  <si>
    <t>The increasing complexity and ubiquity of cyber threats in today’s digital age have amplified the global demand for skilled cybersecurity professionals. Yet, traditional methods of cybersecurity education—often theory-heavy, passive, and decontextualized—</t>
  </si>
  <si>
    <t>10.1007/978-3-032-15105-6_3</t>
  </si>
  <si>
    <t>https://www.scopus.com/pages/publications/105029405696?origin=resultslist</t>
  </si>
  <si>
    <t>Computer programming; Cybersecurity; Engineering education; Game theory; Large scale systems; Network security; Students; Teaching; Affordances; Cyber security; Cyber threats; Cyber-security educations; Digital age; Game-based Learning; Global demand; Hig</t>
  </si>
  <si>
    <t>Research on online learning behavior classification method based on LSTM and CNN</t>
  </si>
  <si>
    <t>Liu, Yijia and Isha bin Awang, Mohd and Zain, Farah binti Mohamad</t>
  </si>
  <si>
    <t>94 - 100</t>
  </si>
  <si>
    <t>Online education has become increasingly prominent in the 21st century, a trend further accelerated by recent global events. While online platforms offer flexibility and convenience, they also present challenges in monitoring and evaluating student behavi</t>
  </si>
  <si>
    <t>10.1145/3700297.3700314</t>
  </si>
  <si>
    <t>https://www.scopus.com/pages/publications/85215662762?origin=resultslist</t>
  </si>
  <si>
    <t>Convolutional neural network; Learning behavior analysis; Long short-term memory network; Online education</t>
  </si>
  <si>
    <t>Active learning; Adversarial machine learning; Contrastive Learning; Federated learning; Long short-term memory; Self-supervised learning; Behavior analysis; Convolutional neural network; Learning behavior; Learning behavior analyze; Long short-term memor</t>
  </si>
  <si>
    <t>Psychometric Validation of an AI-Based Evaluation System for Identifying Discrepancies in Learning Processes</t>
  </si>
  <si>
    <t>Suyasa, P. Wayan Arta and Pujawan, I. Gusti Ngurah and Divayana, Dewa Gede Hendra and Budhyani, I. Dewa Ayu Made and Sugiarta, I. Made and Candiasa, I. Made</t>
  </si>
  <si>
    <t>Journal of Applied Data Sciences</t>
  </si>
  <si>
    <t>1149 - 1162</t>
  </si>
  <si>
    <t xml:space="preserve">This research advances the field of educational evaluation by designing and psychometrically validating an artificial intelligence (AI)-based diagnostic tool to detect discrepancies in university learning processes. The main novelty is the integration of </t>
  </si>
  <si>
    <t>10.47738/jads.v7i2.1168</t>
  </si>
  <si>
    <t>https://www.scopus.com/pages/publications/105036585534?origin=resultslist</t>
  </si>
  <si>
    <t>Artificial Intelligence; Design; E-Evaluation Instrument; Learning Discrepancy; Psychometric Validity</t>
  </si>
  <si>
    <t>Bright Publisher</t>
  </si>
  <si>
    <t>27236471</t>
  </si>
  <si>
    <t>Bridging Motivation and Mastery: The Role of Self-Efficacy in Math Education</t>
  </si>
  <si>
    <t>Amjad, Amjad Islam and Malik, Muhammad Abid and Aslam, Sarfraz and Habib, Musarrat</t>
  </si>
  <si>
    <t>492 - 502</t>
  </si>
  <si>
    <t>The main objective of this study was to examine new ways of assessing self-efficacy in learning mathematics that affect students’ educational performance through perceived utility and intrinsic motivation. The study's research design was cross-sectional i</t>
  </si>
  <si>
    <t>10.18421/TEM141-44</t>
  </si>
  <si>
    <t>https://www.scopus.com/pages/publications/105000232689?origin=resultslist</t>
  </si>
  <si>
    <t>Elementary students; intrinsic motivation; mathematics; perceived utility; self-efficacy</t>
  </si>
  <si>
    <t>Personalized learning path planning for higher education based on deep generative models and quantum machine learning: a multimodal learning analysis method integrating transformer, adversarial training and quantum state classification</t>
  </si>
  <si>
    <t>Sun, Changzhi and Huang, Shijie and Sun, Banghui and Chu, Shiwei</t>
  </si>
  <si>
    <t>In the field of personalized learning path planning for higher education, traditional methods lack in-depth analysis of students' dynamically changing learning status and interests, resulting in insufficient personalization, and focus on the analysis of a</t>
  </si>
  <si>
    <t>10.1007/s44163-025-00252-6</t>
  </si>
  <si>
    <t>https://www.scopus.com/pages/publications/105000888843?origin=resultslist</t>
  </si>
  <si>
    <t>Adversarial training; Deep generative model; Learning path planning; Quantum state classification; Transformer model</t>
  </si>
  <si>
    <t>Contrastive Learning; Deep reinforcement learning; Federated learning; Generative adversarial networks; Quantum efficiency; Self-supervised learning; Students; Deep generative model; Generative model; High educations; Learning path planning; Learning path</t>
  </si>
  <si>
    <t>Transforming EFL Teaching with AI: A Systematic Review of Empirical Studies</t>
  </si>
  <si>
    <t>Kundu, Arnab and Bej, Tripti</t>
  </si>
  <si>
    <t>2281 - 2314</t>
  </si>
  <si>
    <t>This systematic review explores the integration and impact of Artificial Intelligence in English as a Foreign Language teaching in schools, evaluating the effectiveness, challenges, and pedagogical implications of AI-driven tools. After screening 189 stud</t>
  </si>
  <si>
    <t>10.1007/s40593-025-00470-0</t>
  </si>
  <si>
    <t>https://www.scopus.com/pages/publications/105002180546?origin=resultslist</t>
  </si>
  <si>
    <t>AI in Education; EFL; Language Teaching; PRISMA; School Education</t>
  </si>
  <si>
    <t>Economic and social effects; Intelligent systems; Personnel training; Taxonomies; Teaching; AI in education; EFL; Empirical studies; English-as-a-Foreign-Language; Language teaching; Meta-analysis; Preferred reporting item for systematic review and meta-a</t>
  </si>
  <si>
    <t>Cited by: 35</t>
  </si>
  <si>
    <t>Learning Outcome Modeling in Computer-Based Assessments for Learning: A Sequential Deep Collaborative Filtering Approach</t>
  </si>
  <si>
    <t>Chen, Fu and Lu, Chang and Cui, Ying and Gao, Yizhu</t>
  </si>
  <si>
    <t>IEEE Transactions on Learning Technologies</t>
  </si>
  <si>
    <t>243 - 255</t>
  </si>
  <si>
    <t>Learning outcome modeling is a technical underpinning for the successful evaluation of learners' learning outcomes through computer-based assessments. In recent years, collaborative filtering approaches have gained popularity as a technique to model learn</t>
  </si>
  <si>
    <t>10.1109/TLT.2022.3224075</t>
  </si>
  <si>
    <t>https://www.scopus.com/pages/publications/85144037126?origin=resultslist</t>
  </si>
  <si>
    <t>Attentive modeling; collaborative filtering (CF); deep learning; item-skill associations; learning outcome modeling; recurrent neural networks (RNNs)</t>
  </si>
  <si>
    <t>Collaborative filtering; Computer aided analysis; Assessment for learning; Attentive modeling; Computer-based assessments; Deep learning; Item-skill association; Learning approach; Learning outcome; Learning outcome modeling; Learning record; Model learne</t>
  </si>
  <si>
    <t>19391382</t>
  </si>
  <si>
    <t>Cited by: 6</t>
  </si>
  <si>
    <t>CATALYST: learner feedback mining with an LLM-based automated thematic analysis</t>
  </si>
  <si>
    <t>Kong, Lingchen and Shin, Jinnie and Antonenko, Pavlo Pasha</t>
  </si>
  <si>
    <t>Interactive Learning Environments</t>
  </si>
  <si>
    <t>Learner feedback offers critical insights for improving digital learning platforms, yet analyzing large volumes of unstructured qualitative data remains challenging. Traditional thematic analysis depends on manual coding, which is time-consuming, resource</t>
  </si>
  <si>
    <t>10.1080/10494820.2026.2617988</t>
  </si>
  <si>
    <t>https://www.scopus.com/pages/publications/105028495642?origin=resultslist</t>
  </si>
  <si>
    <t>educational text mining; Large language models; learning feedback; online language learning; thematic analysis</t>
  </si>
  <si>
    <t>Routledge</t>
  </si>
  <si>
    <t>10494820</t>
  </si>
  <si>
    <t>Design and Application of Painting Teaching System based on Hyperlink-Induced Topic Search Algorithm</t>
  </si>
  <si>
    <t>Ye, Zhou and Sirivesmas, Veerawat and Joneurairatana, Eakachat and Simatrang, Sone</t>
  </si>
  <si>
    <t>International Conference on Intelligent Systems and Computational Networks, ICISCN 2025</t>
  </si>
  <si>
    <t>With the rapid advancement of artificial intelligence and big data, traditional painting teaching methods face challenges in adapting to modern educational needs. This paper proposes a painting teaching system based on the Hyperlink-Induced Topic Search (</t>
  </si>
  <si>
    <t>10.1109/ICISCN64258.2025.10934633</t>
  </si>
  <si>
    <t>https://www.scopus.com/pages/publications/105002693363?origin=resultslist</t>
  </si>
  <si>
    <t>HITS; immersive learning; painting technique; real time data analysis; traditional methods</t>
  </si>
  <si>
    <t xml:space="preserve">Access control; Adversarial machine learning; Contrastive Learning; Deep learning; Hypertext systems; Network security; Teaching; Art educations; Design and application; Hyperlink-induced topic search; Hyperlinks; Immersive learning; Painting techniques; </t>
  </si>
  <si>
    <t>LEMate: An Early Prototype of an Artificial Intelligence-Powered Learner Engagement Detection System for Low-Resource Classrooms</t>
  </si>
  <si>
    <t>Mahmud, Mufti and Kaiser, M. Shamim and Brown, David J. and Rahman, Muhammad Arifur and Shopland, Nicholas and Burton, Andrew and Ahmed, Sabbir and Mahmud, K. M. Abir and Morshed, Fahad</t>
  </si>
  <si>
    <t>417 - 432</t>
  </si>
  <si>
    <t>1208</t>
  </si>
  <si>
    <t>In contemporary educational settings, learner engagement is a critical factor influencing the effectiveness of teaching and learning processes. Traditional methods of assessing engagement often rely on subjective observations or self-reporting, presenting</t>
  </si>
  <si>
    <t>10.1007/978-981-96-0185-1_35</t>
  </si>
  <si>
    <t>https://www.scopus.com/pages/publications/105008193292?origin=resultslist</t>
  </si>
  <si>
    <t>Affective computing; Artificial intelligence; Learning analytics; Low-resource classroom; Student engagement</t>
  </si>
  <si>
    <t>Computer aided instruction; Education computing; Educational technology; Engineering education; Human computer interaction; Learning algorithms; Learning systems; Machine learning; Students; Teaching; Affective Computing; Critical factors; Detection syste</t>
  </si>
  <si>
    <t>A Structured Dataset for Automated Grading: From Raw Data to Processed Dataset</t>
  </si>
  <si>
    <t>Dada, Ibidapo Dare and Akinwale, Adio T. and Tunde-Adeleke, Ti-Jesu</t>
  </si>
  <si>
    <t>Data</t>
  </si>
  <si>
    <t>The increasing volume of student assessments, particularly open-ended responses, presents a significant challenge for educators in ensuring grading accuracy, consistency, and efficiency. This paper presents a structured dataset designed for the developmen</t>
  </si>
  <si>
    <t>10.3390/data10060087</t>
  </si>
  <si>
    <t>https://www.scopus.com/pages/publications/105009331101?origin=resultslist</t>
  </si>
  <si>
    <t>automated essay grading; automated grading dataset; natural language processing</t>
  </si>
  <si>
    <t>Automation; Curricula; Deep learning; Education computing; Educational technology; Engineering education; Grading; Information management; Learning algorithms; Learning systems; Semantics; Students; Automated essay grading; Automated grading; Automated gr</t>
  </si>
  <si>
    <t>23065729</t>
  </si>
  <si>
    <t>Survey of Computerized Adaptive Testing: A Machine Learning Perspective</t>
  </si>
  <si>
    <t>Zhuang, Yan and Liu, Qi and Bi, Haoyang and Huang, Zhenya and Huang, Weizhe and Li, Jiatong and Yu, Junhao and Liu, Zirui and Hu, Zirui and Hong, Yuting and Pardos, Zachary A. and Ma, Haiping and Zhu, Mengxiao and Wang, Shijin and Chen, Enhong</t>
  </si>
  <si>
    <t>IEEE Transactions on Pattern Analysis and Machine Intelligence</t>
  </si>
  <si>
    <t>8744 - 8763</t>
  </si>
  <si>
    <t>48</t>
  </si>
  <si>
    <t>Computerized Adaptive Testing (CAT) offers an efficient and personalized method for assessing examinee proficiency by dynamically adjusting test questions based on individual performance. Compared to traditional, non-personalized testing methods, CAT requ</t>
  </si>
  <si>
    <t>10.1109/TPAMI.2026.3672850</t>
  </si>
  <si>
    <t>https://www.scopus.com/pages/publications/105032791876?origin=resultslist</t>
  </si>
  <si>
    <t>Adaptive testing; AI evaluation; deep learning; machine learning; proficiency assessment</t>
  </si>
  <si>
    <t>Integration; Integration testing; Learning algorithms; Learning systems; Sports; Adaptive testing; AI evaluation; Computerized adaptive testing; Deep learning; Individual performance; Large scale testing; Machine learning techniques; Machine-learning; Pro</t>
  </si>
  <si>
    <t>IEEE Computer Society</t>
  </si>
  <si>
    <t>01628828</t>
  </si>
  <si>
    <t>Artificial Intelligence Applications in Primary Education: A Quantitatively Complemented Mixed-Meta-Method Study</t>
  </si>
  <si>
    <t>Topkaya, Yavuz and Doğan, Yunus and Batdı, Veli and Aydın, Sami</t>
  </si>
  <si>
    <t>In recent years, rapidly advancing technology has reshaped our world, holding the potential to transform social and economic structures. The United Nations’ Sustainable Development Goals (SDGs) provide a comprehensive roadmap that promotes not only econom</t>
  </si>
  <si>
    <t>10.3390/su17073015</t>
  </si>
  <si>
    <t>https://www.scopus.com/pages/publications/105002357772?origin=resultslist</t>
  </si>
  <si>
    <t>AI; AI in education; Maxqda; meta-analysis; meta-thematic analysis; quantitatively complemented mixed-meta method; Rasch measurement model; sustainability</t>
  </si>
  <si>
    <t>artificial intelligence; economic growth; meta-analysis; primary education; quantitative analysis; social impact; sustainability; Sustainable Development Goal; United Nations</t>
  </si>
  <si>
    <t>Comparative Analysis of Mixed Reality and PowerPoint in Education: Tailoring Learning Approaches to Cognitive Profiles</t>
  </si>
  <si>
    <t>Petruse, Radu Emanuil and Grecu, Valentin and Chiliban, Marius-Bogdan and Tâlvan, Elena-Teodora</t>
  </si>
  <si>
    <t>24</t>
  </si>
  <si>
    <t>The term immersive technology refers to various types of technologies and perspectives that are constantly changing and developing. It can be used for different purposes and domains such as education, healthcare, entertainment, arts, and engineering. This</t>
  </si>
  <si>
    <t>10.3390/s24165138</t>
  </si>
  <si>
    <t>https://www.scopus.com/pages/publications/85202452301?origin=resultslist</t>
  </si>
  <si>
    <t>cognitive ability; education; mixed reality; PowerPoint; teaching methods</t>
  </si>
  <si>
    <t>Cognition; Female; Humans; Learning; Male; Students; Young Adult; Adversarial machine learning; Educational technology; Teaching; Cognitive ability; Cognitive profiles; Comparative analyzes; Immersive technologies; Learning approach; Learning outcome; Mix</t>
  </si>
  <si>
    <t>Logged In and Mindset On: Log Data Based Insights on Engagement and Learnings in Programming CBLEs</t>
  </si>
  <si>
    <t>Nishane, Indrayani and Rajendran, Ramkumar and Iyer, Sridhar</t>
  </si>
  <si>
    <t>Proceedings of the International Conference on Computers in Education</t>
  </si>
  <si>
    <t>4</t>
  </si>
  <si>
    <t>Mindset has been shown to influence learners' motivation, persistence, and academic outcomes. While extensive research supports the benefits of a growth mindset in traditional classroom settings, little is known about how these beliefs shape learning in a</t>
  </si>
  <si>
    <t>https://www.scopus.com/pages/publications/105046230460?origin=resultslist</t>
  </si>
  <si>
    <t>Computer-based Learning Environment; Learner’s Mindset; Learning Gain; Mindset in Programming Education</t>
  </si>
  <si>
    <t>Asia-Pacific Society for Computers in Education</t>
  </si>
  <si>
    <t>30784360</t>
  </si>
  <si>
    <t>An Integrated (Hybrid Based) Besuited Education System Design for the Better Models</t>
  </si>
  <si>
    <t>Benitta, G. and Asha, H. Jimsy and Josephine, J. Alisha</t>
  </si>
  <si>
    <t>561 - 565</t>
  </si>
  <si>
    <t>Artificial Intelligence (AI) is at the cusp of disruptive force across sectors, and the application in higher education stands to deeply transform it. This paper, therefore, wrestles in great depth with the many-faceted potential of AI in transforming hig</t>
  </si>
  <si>
    <t>10.1109/ICACITE60783.2024.10617144</t>
  </si>
  <si>
    <t>https://www.scopus.com/pages/publications/85201796753?origin=resultslist</t>
  </si>
  <si>
    <t>AI Technologies; Data-Driven Decision-Making; Disruptive Force; Ethical Considerations; Higher Education; Innovative Ways; Personalized Learning Experiences; Qualitative Research; Traditional Models; Transformative Impact</t>
  </si>
  <si>
    <t>Adversarial machine learning; Ethical technology; Federated learning; Artificial intelligence technologies; Data driven decision; Data-driven decision-making; Decisions makings; Disruptive force; Ethical considerations; High educations; Innovative way; Le</t>
  </si>
  <si>
    <t>The Promises and Pitfalls of Using Language Models to Measure Instruction Quality in Education</t>
  </si>
  <si>
    <t>Xu, Paiheng and Liu, Jing and Jones, Nathan and Cohen, Julie and Ai, Wei</t>
  </si>
  <si>
    <t>Proceedings of the 2024 Conference of the North American Chapter of the Association for Computational Linguistics: Human Language Technologies, NAACL 2024</t>
  </si>
  <si>
    <t>4375 - 4389</t>
  </si>
  <si>
    <t>1</t>
  </si>
  <si>
    <t>Assessing instruction quality is a fundamental component of any improvement efforts in the education system. However, traditional manual assessments are expensive, subjective, and heavily dependent on observers’ expertise and idiosyncratic factors, preven</t>
  </si>
  <si>
    <t>10.18653/v1/2024.naacl-long.246</t>
  </si>
  <si>
    <t>https://www.scopus.com/pages/publications/85199556529?origin=resultslist</t>
  </si>
  <si>
    <t>Computational linguistics; Education computing; Natural language processing systems; Assessing instruction; Education systems; Fundamental component; Instructional practices; Language model; Language processing; Language processing techniques; Natural lan</t>
  </si>
  <si>
    <t>Association for Computational Linguistics (ACL)</t>
  </si>
  <si>
    <t>Single-agent vs. Multi-agent LLM Strategies for Automated Student Reflection Assessment</t>
  </si>
  <si>
    <t>Li, Gen and Chen, Li and Tang, Cheng and Švábenský, Valdemar and Deguchi, Daisuke and Yamashita, Takayoshi and Shimada, Atsushi</t>
  </si>
  <si>
    <t>300 - 311</t>
  </si>
  <si>
    <t>15874 LNCS</t>
  </si>
  <si>
    <t>We explore the use of Large Language Models (LLMs) for automated assessment of open-text student reflections and prediction of academic performance. Traditional methods for evaluating reflections are time-consuming and may not scale effectively in educati</t>
  </si>
  <si>
    <t>10.1007/978-981-96-8186-0_24</t>
  </si>
  <si>
    <t>https://www.scopus.com/pages/publications/105009408549?origin=resultslist</t>
  </si>
  <si>
    <t>educational data mining; grade prediction; LLMs; reflection</t>
  </si>
  <si>
    <t>Forecasting; Intelligent agents; Multi agent systems; Risk assessment; Students; Academic performance; Automated assessment; Educational data mining; Grade predictions; Language model; Large language model; Modelling strategies; Multi agent; Open text; Si</t>
  </si>
  <si>
    <t>Cited by: 7; All Open Access; Green Open Access</t>
  </si>
  <si>
    <t>Clustering children's learning behaviour to identify self-regulated learning support needs</t>
  </si>
  <si>
    <t>Dijkstra, S.H.E. and Hinne, M. and Segers, E. and Molenaar, I.</t>
  </si>
  <si>
    <t>Computers in Human Behavior</t>
  </si>
  <si>
    <t>145</t>
  </si>
  <si>
    <t>When children are learning using adaptive learning technologies (ALTs), the technology builds a learner model, which creates temporal trajectories providing insight into how children's knowledge develops. Based on this learner model, ALTs adjust the diffi</t>
  </si>
  <si>
    <t>10.1016/j.chb.2023.107754</t>
  </si>
  <si>
    <t>https://www.scopus.com/pages/publications/85151789877?origin=resultslist</t>
  </si>
  <si>
    <t>Bayesian nonparametric clustering; Learning behaviour; Self-regulated learning</t>
  </si>
  <si>
    <t>Engineering education; Learning systems; Adaptive learning; Bayesian nonparametric clustering; Children learning; Knowledge development; Learner modeling; Learning behavior; Learning support; Learning technology; Self-regulated learning; Temporal trajecto</t>
  </si>
  <si>
    <t>07475632</t>
  </si>
  <si>
    <t>Cited by: 21; All Open Access; Green Open Access; Hybrid Gold Open Access</t>
  </si>
  <si>
    <t>Data-Related Ethics Issues in Technologies for Informal Professional Learning</t>
  </si>
  <si>
    <t>Pammer-Schindler, Viktoria and Rosé, Carolyn</t>
  </si>
  <si>
    <t>609 - 635</t>
  </si>
  <si>
    <t>Professional and lifelong learning are a necessity for workers. This is true both for re-skilling from disappearing jobs, as well as for staying current within a professional domain. AI-enabled scaffolding and just-in-time and situated learning in the wor</t>
  </si>
  <si>
    <t>10.1007/s40593-021-00259-x</t>
  </si>
  <si>
    <t>https://www.scopus.com/pages/publications/85110903130?origin=resultslist</t>
  </si>
  <si>
    <t>AI-enabled educational technology; Data-related ethics; Lifelong learning; Professional learning; Workplace learning</t>
  </si>
  <si>
    <t>Adaptive systems; Natural language processing systems; Philosophical aspects; Professional aspects; Scaffolds; Adaptive technology; Data-driven design; Learning technology; Life long learning; NAtural language processing; Professional learning; Situated l</t>
  </si>
  <si>
    <t>Cited by: 11; All Open Access; Hybrid Gold Open Access</t>
  </si>
  <si>
    <t>Personalized Vocabulary Learning through Images: Harnessing Multimodal Large Language Models for Early Childhood Education</t>
  </si>
  <si>
    <t>Hang, Ching Nam and Man Ho, Sin</t>
  </si>
  <si>
    <t>2025 15th IEEE Integrated STEM Education Conference, ISEC 2025</t>
  </si>
  <si>
    <t>Early childhood is a foundational period for lifelong learning, during which vocabulary acquisition plays a crucial role in language development, cognitive growth, and social interaction. Drawing on dual coding theory, which posits that pairing words with</t>
  </si>
  <si>
    <t>10.1109/ISEC64801.2025.11147254</t>
  </si>
  <si>
    <t>https://www.scopus.com/pages/publications/105017641731?origin=resultslist</t>
  </si>
  <si>
    <t>Early childhood education; Multimodal large language models; Prompt engineering; Vocabulary learning</t>
  </si>
  <si>
    <t>Artificial intelligence; Computation theory; Learning systems; Early childhood educations; Early childhoods; Language development; Language model; Life long learning; Multi-modal; Multimodal large language model; Prompt engineering; Vocabulary acquisition</t>
  </si>
  <si>
    <t>Cited by: 16</t>
  </si>
  <si>
    <t>A Framework for Constructing Concept Maps from E-Books Using Large Language Models: Challenges and Future Directions</t>
  </si>
  <si>
    <t>Ma, Boxuan and Chen, Li</t>
  </si>
  <si>
    <t>CEUR Workshop Proceedings</t>
  </si>
  <si>
    <t>99 - 108</t>
  </si>
  <si>
    <t>3995</t>
  </si>
  <si>
    <t xml:space="preserve">Concept maps have been widely used in education to organize and represent information hierarchically. However, traditional methods for constructing concept maps often depend on human experts, which can be costly and time-consuming. The emergence of large </t>
  </si>
  <si>
    <t>https://www.scopus.com/pages/publications/105011035445?origin=resultslist</t>
  </si>
  <si>
    <t>ChatGPT; Concept Map; E-book; LLM</t>
  </si>
  <si>
    <t>Information analysis; Automated solutions; ChatGPT; Concept extraction; Concept maps; E-books; Human expert; Language model; Large language model; Reasoning tasks; Scalable solution; Electronic document exchange</t>
  </si>
  <si>
    <t>CEUR-WS</t>
  </si>
  <si>
    <t>16130073</t>
  </si>
  <si>
    <t>Curio: Enhancing STEM Online Video Learning Experience Through Integrated, Just-in-Time Help-Seeking</t>
  </si>
  <si>
    <t>Tseng, Ying-Jui and Lin, Yu-Hsin and Yadav, Gautam and Bier, Norman and Aleven, Vincent</t>
  </si>
  <si>
    <t>437 - 451</t>
  </si>
  <si>
    <t>15159 LNCS</t>
  </si>
  <si>
    <t>Online video learning platforms have broadened access to learning but often struggle to offer personalized, context-sensitive support when learners encounter complex, tightly-knit concepts, particularly from the STEM fields. This paper presents Curio, a n</t>
  </si>
  <si>
    <t>10.1007/978-3-031-72315-5_30</t>
  </si>
  <si>
    <t>https://www.scopus.com/pages/publications/85205125312?origin=resultslist</t>
  </si>
  <si>
    <t>Artificial Intelligence in Education; Just-In-Time Help-Seeking; Online Video Learning; User Interface Design for Learning</t>
  </si>
  <si>
    <t>Adversarial machine learning; E-learning; Federated learning; Video analysis; Artificial intelligence in education; Help seeking; Just-in-time; Just-in-time help-seeking; Learning experiences; Learning platform; Online video; Online video learning; User i</t>
  </si>
  <si>
    <t>Achieving optimal trade-off for student dropout prediction with multi-objective reinforcement learning</t>
  </si>
  <si>
    <t>Pan, Feng and Zhang, Hanfei and Li, Xuebao and Zhang, Moyu and Ji, Yang</t>
  </si>
  <si>
    <t xml:space="preserve">Student dropout prediction (SDP) in educational research has gained prominence for its role in analyzing student learning behaviors through time series models. Traditional methods often focus singularly on either prediction accuracy or earliness, leading </t>
  </si>
  <si>
    <t>10.7717/PEERJ-CS.2034</t>
  </si>
  <si>
    <t>https://www.scopus.com/pages/publications/85194401338?origin=resultslist</t>
  </si>
  <si>
    <t>Envelope Q-learning; Multi-objective reinforcement learning; Student dropout prediction; Trade-off; Vector reward</t>
  </si>
  <si>
    <t>Classification (of information); Economic and social effects; Forecasting; Learning algorithms; Learning systems; Markov processes; Multiobjective optimization; Pareto principle; Students; Educational research; Envelope Q-learning; Multi objective; Multi-</t>
  </si>
  <si>
    <t>Cited by: 4; All Open Access; Gold Open Access; Green Open Access</t>
  </si>
  <si>
    <t>A Comparative Study of Machine Learning Algorithms for Predicting Engineering and Technology Admissions</t>
  </si>
  <si>
    <t>Goel, Akash and Gupta, Vanshika and Sharma, Ayushi and Kaushik, Anvesha and Diya</t>
  </si>
  <si>
    <t>117 - 125</t>
  </si>
  <si>
    <t>1617 LNNS</t>
  </si>
  <si>
    <t xml:space="preserve">Ensuring an efficient and fair admission process is crucial for engineering colleges, as they need to predict the number of students enrolling in their courses accurately. Traditional approaches, such as manual calculations and fixed cut-off marks, often </t>
  </si>
  <si>
    <t>10.1007/978-3-032-04539-3_8</t>
  </si>
  <si>
    <t>https://www.scopus.com/pages/publications/105027015877?origin=resultslist</t>
  </si>
  <si>
    <t>Linear regression (LR); Random forest tree (RFT); Support vector machine (SVM); XGBoost</t>
  </si>
  <si>
    <t xml:space="preserve">Curricula; Data accuracy; Education computing; Engineering education; Forecasting; Learning algorithms; Learning systems; Linear regression; Students; Support vector regression; Comparatives studies; Engineering and technology; Linear regression; Machine </t>
  </si>
  <si>
    <t>Comparative Study of LLMs in Assessment Evaluation and Affective Feedback Generation</t>
  </si>
  <si>
    <t>Nandakumar, Sreenandana and Kumar, Sidharth S. and Anand, Sruthy and Rao, Sethuraman N.</t>
  </si>
  <si>
    <t>Proceedings - 2025 7th International Conference on Computational Intelligence and Communication Technologies, CCICT 2025</t>
  </si>
  <si>
    <t>657 - 664</t>
  </si>
  <si>
    <t>Artificial Intelligence in education has seen a great surge recently, especially in transforming traditional education systems as students use tools like ChatGPT for their daily learning especially in higher education. AI and LLM have great potential in t</t>
  </si>
  <si>
    <t>10.1109/CCICT65753.2025.00105</t>
  </si>
  <si>
    <t>https://www.scopus.com/pages/publications/105013465561?origin=resultslist</t>
  </si>
  <si>
    <t>Automatic Answer evaluation; Education; Feedback; LLM; Sentiment polarity</t>
  </si>
  <si>
    <t>Artificial intelligence; Education computing; Students; Artificial intelligence in education; Automatic answer evaluation; Comparatives studies; Education systems; High educations; LLM; Sentiment polarity; Students' evaluations; Traditional assessment; Tr</t>
  </si>
  <si>
    <t>The Role of Interactive Mobile Learning in Enhancing University Students’ Foreign Language Writing Skills</t>
  </si>
  <si>
    <t>Li, Tian</t>
  </si>
  <si>
    <t>28 - 43</t>
  </si>
  <si>
    <t>This study aims to investigate the effectiveness of interactive mobile learning (IML) in improving the foreign language writing skills of college writers. Utilising the pervasive and practical nature of mobile devices, IML’s engaging and enjoyable feature</t>
  </si>
  <si>
    <t>10.3991/ijim.v18i14.50405</t>
  </si>
  <si>
    <t>https://www.scopus.com/pages/publications/85201734060?origin=resultslist</t>
  </si>
  <si>
    <t>education quality; foreign language; interactive mobile learning (IML); mobile technology</t>
  </si>
  <si>
    <t>Cognitive load theory; Education quality; Foreign language; Interactive mobile learning; Language acquisition; Mobile applications; Mobile Learning; Mobile Technology; University students; Writing skills; Students</t>
  </si>
  <si>
    <t>Proceedings - 2025 International Conference on Intelligent Decision-Making and Machine Learning, ICIDML 2025</t>
  </si>
  <si>
    <t>43 - 47</t>
  </si>
  <si>
    <t>Private universities are experiencing greater difficulties in enrollment management as a result of competition, student demographics changes, and resource limitations. This article presents an artificial intelligence (AI)-enabled enrollment management (EM</t>
  </si>
  <si>
    <t>https://www.scopus.com/pages/publications/105046620023?origin=resultslist</t>
  </si>
  <si>
    <t>decision support system; educational data mining; Enrollment management; LSTM-XGBoost hybrid model; machine learning; multi-objective optimization; NSGA-II; private universities</t>
  </si>
  <si>
    <t>Commerce; Data mining; Decision trees; Learning systems; Long short-term memory; Multiobjective optimization; Pareto principle; Students; Decision supports; Educational data mining; Enrollment management; Hybrid model; LSTM-xgboost hybrid model; Machine-l</t>
  </si>
  <si>
    <t>Research on Different AI Approaches to Measuring Curricular Overlap Across University Programs</t>
  </si>
  <si>
    <t>Ramanauskaitė, Simona and Stefanovič, Pavel and Baradinskienė, Eglė and Vărvăruc, Cristina and Imran, Muhammad and Bubnova, Darja and Rodriguez Rivero, Cristian Maximiliano and Raamets, Tõnis and Karbauskienė, Renata</t>
  </si>
  <si>
    <t>304 - 314</t>
  </si>
  <si>
    <t>4213</t>
  </si>
  <si>
    <t>University curricula's increasing complexity and diversity necessitate efficient methods for assessing course similarities across institutions. This research investigates and compares traditional text-similarity techniques and generative AI (GenAI) approa</t>
  </si>
  <si>
    <t>https://www.scopus.com/pages/publications/105042233529?origin=resultslist</t>
  </si>
  <si>
    <t>cosine; course; embedding; generative AI; similarity; university</t>
  </si>
  <si>
    <t>Artificial intelligence; Information use; Cosine; Course; Embeddings; Generative AI; Mean absolute error; Similarity; Traditional approaches; Traditional approachs; University; University programs; Curricula</t>
  </si>
  <si>
    <t>Self-Assessment and Reflection Game for Training in Competences Against Disinformation</t>
  </si>
  <si>
    <t>Hernandez-Serrano, Maria Jose and Romo, Noelia Morales and Martin-Del-Pozo, Marta</t>
  </si>
  <si>
    <t>2024 21st International Conference on Information Technology Based Higher Education and Training, ITHET 2024</t>
  </si>
  <si>
    <t>Competence training requires the development of tools to assess both the initial and final levels of acquisition. These tools enable trainees to reflect on their self-perceived training needs and performance evolution. In the framework of a European proje</t>
  </si>
  <si>
    <t>10.1109/ITHET61869.2024.10837656</t>
  </si>
  <si>
    <t>https://www.scopus.com/pages/publications/85218114605?origin=resultslist</t>
  </si>
  <si>
    <t>disinformation; information literacy; Self Assessment; teacher competences; video games</t>
  </si>
  <si>
    <t>Personnel training; Disinformation; European program; Information literacy; Performance evolutions; Self reflection; Self-assessment; Teacher competence; Teachers'; Training needs; Video-games; Teaching</t>
  </si>
  <si>
    <t>Cited by: 0; All Open Access; Green Open Access</t>
  </si>
  <si>
    <t>Leveraging Explainable Artificial Intelligence (XAI) to Enhance Academic Integrity: A Predictive Risk Mitigation Framework</t>
  </si>
  <si>
    <t>Akre, Vishwesh and Kobbaey, Thaeer and Furquad, M.A.H.</t>
  </si>
  <si>
    <t>19th International Conference on Innovations in Intelligent Systems and Applications, INISTA 2025 - Proceedings</t>
  </si>
  <si>
    <t>Academic institutions face numerous studentcentric risks; the most critical one being academic misconduct through plagiarism, unauthorized collaboration, and cheating. Academic institutions have been traditionally managing such risks through academic inte</t>
  </si>
  <si>
    <t>10.1109/INISTA68122.2025.11249632</t>
  </si>
  <si>
    <t>https://www.scopus.com/pages/publications/105030498130?origin=resultslist</t>
  </si>
  <si>
    <t>Artificial Intelligence (AI); Early Intervention Systems; Ethical AI; Explainable AI (XAI); Local Interpretable Model-agnostic Explanations (LIME); Machine Learning; Risk Prediction; SHapley Additive exPlanations (SHAP)</t>
  </si>
  <si>
    <t xml:space="preserve">Artificial intelligence; Decision making; Ethical aspects; Intellectual property; Learning systems; Transparency; Artificial intelligence; Early intervention; Early intervention system; Ethical artificial intelligence; Explainable artificial intelligence </t>
  </si>
  <si>
    <t>Exploring the Potential of Large Language Models for Estimating the Reading Comprehension Question Difficulty</t>
  </si>
  <si>
    <t>Jain, Yoshee and Hollander, John and He, Amber and Tang, Sunny and Zhang, Liang and Sabatini, John</t>
  </si>
  <si>
    <t>202 - 213</t>
  </si>
  <si>
    <t>15812 LNCS</t>
  </si>
  <si>
    <t xml:space="preserve">Reading comprehension is key for individual success, yet the assessment of question difficulty remains challenging due to the extensive human annotation and large-scale testing required by traditional methods such as linguistic analysis and Item Response </t>
  </si>
  <si>
    <t>10.1007/978-3-031-92967-0_14</t>
  </si>
  <si>
    <t>https://www.scopus.com/pages/publications/105007844343?origin=resultslist</t>
  </si>
  <si>
    <t>Item Theory Response; Large Language Model; Question Difficulty; Reading Comprehension</t>
  </si>
  <si>
    <t>Human annotations; Instructional system; Item response theory; Item theory response; Language model; Large language model; Large scale testing; Linguistic analysis; Question difficulty; Reading comprehension; Scalability</t>
  </si>
  <si>
    <t>How and When: The Impact of Metacognitive Knowledge Instruction and Motivation on Transfer Across Intelligent Tutoring Systems</t>
  </si>
  <si>
    <t>Abdelshiheed, Mark and Barnes, Tiffany and Chi, Min</t>
  </si>
  <si>
    <t>974 - 1007</t>
  </si>
  <si>
    <t>Two metacognitive knowledge types in deductive domains are procedural and conditional. This work presents a preliminary study on the impact of metacognitive knowledge and motivation on transfer across two Intelligent Tutoring Systems (ITSs), then two expe</t>
  </si>
  <si>
    <t>10.1007/s40593-023-00371-0</t>
  </si>
  <si>
    <t>https://www.scopus.com/pages/publications/85173037008?origin=resultslist</t>
  </si>
  <si>
    <t>Intelligent tutoring systems; Metacognitive interventions; Metacognitive knowledge; Motivation; Transfer</t>
  </si>
  <si>
    <t>Computer aided instruction; Intelligent vehicle highway systems; Students; Technology transfer; Backward chaining; Intelligent tutoring; Intelligent tutoring system; Knowledge types; Metacognitive intervention; Metacognitive knowledge; Metacognitives; Tra</t>
  </si>
  <si>
    <t>Cited by: 10</t>
  </si>
  <si>
    <t>Towards a Meaningful Experience on the Use of Digital Educational Resources and Media created at Ardora</t>
  </si>
  <si>
    <t>Isanoa-Sinche, Marjorie and Llerena-Izquierdo, Joe</t>
  </si>
  <si>
    <t>ECTM 2023 - 2023 IEEE 7th Ecuador Technical Chapters Meeting</t>
  </si>
  <si>
    <t>Nowadays, in different areas of education, more and more innovative educational strategies are being considered in the classroom, moving away from traditional methods. The objective of this study is directed to the learning of mathematics in high school s</t>
  </si>
  <si>
    <t>10.1109/ETCM58927.2023.10308988</t>
  </si>
  <si>
    <t>https://www.scopus.com/pages/publications/85179522157?origin=resultslist</t>
  </si>
  <si>
    <t>Ardora; digital educational resources; flipped classroom; meaningful learning experience</t>
  </si>
  <si>
    <t>E-learning; Analytical methodology; Ardora; Classroom methodologies; Digital educational resources; Educational strategy; Flipped classroom; High school students; Interactive elements; Learning experiences; Meaningful learning experience; Students</t>
  </si>
  <si>
    <t>Application of GA-BP Neural Network in Online Education Quality Evaluation in Colleges and Universities</t>
  </si>
  <si>
    <t>Sun, Guodong</t>
  </si>
  <si>
    <t>Mobile Information Systems</t>
  </si>
  <si>
    <t>2022</t>
  </si>
  <si>
    <t xml:space="preserve">The purpose of educational data mining is to find the internal relations and laws hidden in the massive educational data and help students' learning and teachers' teaching and management. The prediction and analysis of student achievement can improve the </t>
  </si>
  <si>
    <t>10.1155/2022/7846247</t>
  </si>
  <si>
    <t>https://www.scopus.com/pages/publications/85131290324?origin=resultslist</t>
  </si>
  <si>
    <t>Data mining; Decision trees; E-learning; Forecasting; Neural networks; Population statistics; Quality control; Students; BP neural networks; Colleges and universities; Education quality; On-line education; Prediction and analysis; Quality evaluation; Stud</t>
  </si>
  <si>
    <t>Hindawi Limited</t>
  </si>
  <si>
    <t>1574017X</t>
  </si>
  <si>
    <t>Cited by: 9; All Open Access; Hybrid Gold Open Access</t>
  </si>
  <si>
    <t>Exploring the prospects of multimodal large language models for Automated Emotion Recognition in education: Insights from Gemini</t>
  </si>
  <si>
    <t>Yu, Shuzhen and Androsov, Alexey and Yan, Hanbing</t>
  </si>
  <si>
    <t>Computers and Education</t>
  </si>
  <si>
    <t>232</t>
  </si>
  <si>
    <t>Emotions play a pivotal role in daily judgments and decision-making, particularly in educational settings, where understanding and responding to learners’ emotions is essential for personalized learning. While there has been growing interest in emotion re</t>
  </si>
  <si>
    <t>10.1016/j.compedu.2025.105307</t>
  </si>
  <si>
    <t>https://www.scopus.com/pages/publications/105001683314?origin=resultslist</t>
  </si>
  <si>
    <t>Automated Emotion Recognition; Data science applications in education; Multimodal large language models; Teaching/learning strategies</t>
  </si>
  <si>
    <t>Adversarial machine learning; Emotion Recognition; Federated learning; Academic Emotions; Application in education; Automated emotion recognition; Data science application in education; Emotion recognition; Language model; Multi-modal; Multimodal large la</t>
  </si>
  <si>
    <t>03601315</t>
  </si>
  <si>
    <t>Cited by: 12</t>
  </si>
  <si>
    <t>Got It! Prompting Readability Using ChatGPT to Enhance Academic Texts for Diverse Learning Needs</t>
  </si>
  <si>
    <t>Hedlin, Elias and Estling, Ludwig and Wong, Jacqueline and Demmans Epp, Carrie and Viberg, Olga</t>
  </si>
  <si>
    <t>15th  International Conference on Learning Analytics and Knowledge, LAK 2025</t>
  </si>
  <si>
    <t>115 - 125</t>
  </si>
  <si>
    <t>Reading skills are crucial for students' success in education and beyond. However, reading proficiency among K-12 students has been declining globally, including in Sweden, leaving many underprepared for post-secondary education. Additionally, an increasi</t>
  </si>
  <si>
    <t>10.1145/3706468.3706483</t>
  </si>
  <si>
    <t>https://www.scopus.com/pages/publications/105000372142?origin=resultslist</t>
  </si>
  <si>
    <t>Analytics; Equity; Large language models; Literacy; Prompt engineering; Readability</t>
  </si>
  <si>
    <t>Contrastive Learning; Analytic; Equity; Language model; Large language model; Literacy; Prompt engineering; Readability; Reading proficiency; Reading skills; Student success; Students</t>
  </si>
  <si>
    <t>Cited by: 12; All Open Access; Gold Open Access; Green Open Access</t>
  </si>
  <si>
    <t>Predicting Student Dropout Through Text and Media Content Analysis of VKontakte Profiles</t>
  </si>
  <si>
    <t>Gorshkov, Sergei S. and Ignatov, Dmitry I. and Chernysheva, Anastasia Yu</t>
  </si>
  <si>
    <t>46732 - 46746</t>
  </si>
  <si>
    <t>This paper presents a novel approach to predicting student dropout by analyzing publicly available data from VKontakte social network profiles. Unlike traditional methods that primarily rely on academic and institutional data, our method leverages publicl</t>
  </si>
  <si>
    <t>10.1109/ACCESS.2025.3550817</t>
  </si>
  <si>
    <t>https://www.scopus.com/pages/publications/105001089053?origin=resultslist</t>
  </si>
  <si>
    <t>Digital footprint; digital profile; feature extraction; information technologies in education; social network analysis; student dropout prediction</t>
  </si>
  <si>
    <t>Students; Video analysis; Content analysis; Digital footprint; Digital profile; Features extraction; Information technology in educations; Media content; Network profiles; Social Network Analysis; Student dropout prediction; Text content; Prediction model</t>
  </si>
  <si>
    <t>Big Data-Driven Knowledge Management in English Vocabulary Teaching</t>
  </si>
  <si>
    <t>Shang, Jiling</t>
  </si>
  <si>
    <t>Against the “high input but low output” dilemma in traditional English vocabulary teaching and educational resource disparities, this study integrates big data analytics into vocabulary instruction to construct a data-driven knowledge management system en</t>
  </si>
  <si>
    <t>10.4018/IJKM.408113</t>
  </si>
  <si>
    <t>https://www.scopus.com/pages/publications/105039102259?origin=resultslist</t>
  </si>
  <si>
    <t>Big Data Analytics; Data-Driven Instructional System; English Vocabulary Teaching; Knowledge Management in Education; Vocabulary Knowledge Transfer</t>
  </si>
  <si>
    <t>Advanced Analytics; Education computing; Knowledge based systems; Knowledge organization; Knowledge transfer; Markov processes; Teaching; Vocabulary control; Big data analytic; Data analytics; Data driven; Data-driven instructional system; English vocabul</t>
  </si>
  <si>
    <t>Towards Contactless Human Concentration Monitoring Using mmWave Signals</t>
  </si>
  <si>
    <t>Ge, Yuan and Wei, Yi and Guo, Xiaonan and Xie, Yucheng and Wang, Yan and Cheng, Jerry and Chen, Yingying</t>
  </si>
  <si>
    <t>Proceedings - 2024 IEEE 10th International Conference on Collaboration and Internet Computing, CIC 2024</t>
  </si>
  <si>
    <t>19 - 28</t>
  </si>
  <si>
    <t>Maintaining concentration in today’s complex and distracting environments is increasingly challenging, with significant impacts on productivity, learning outcomes, and safety. Traditional methods like self-reporting and observational studies are subjectiv</t>
  </si>
  <si>
    <t>10.1109/CIC62241.2024.00013</t>
  </si>
  <si>
    <t>https://www.scopus.com/pages/publications/85217421610?origin=resultslist</t>
  </si>
  <si>
    <t>Activity recognition; Concentration monitoring; Machine Learning; mmWave sensing</t>
  </si>
  <si>
    <t>Beamforming; Commercial off-the-shelf; Continuous time systems; eHealth; Fourier transforms; 'current; Activity recognition; Concentration monitoring; Contact less; Learning outcome; Machine-learning; Mm waves; Mmwave sensing; Robust performance; Self-rep</t>
  </si>
  <si>
    <t>Enabling data-driven peer help for extracurricular learning: system design and initial implementation in junior mathematics</t>
  </si>
  <si>
    <t>Liang, Changhao and Chen, Yu-tung and Jiang, Peixuan and Ogata, Hiroaki</t>
  </si>
  <si>
    <t>1976 - 1991</t>
  </si>
  <si>
    <t>The rapid advancement of educational technologies has reshaped informal and extracurricular learning, particularly in regions like Hokkaido, Japan, where demographic shifts have increased reliance on remote learning. While these settings offer flexibility</t>
  </si>
  <si>
    <t>10.1080/10494820.2025.2536576</t>
  </si>
  <si>
    <t>https://www.scopus.com/pages/publications/105014892953?origin=resultslist</t>
  </si>
  <si>
    <t>data-driven system; Extracurricular learning; mathematics learning; peer help; peer learning; secondary education</t>
  </si>
  <si>
    <t>SYNCHRON AI: Multiple Assistant Ai Chatbot-Personalized Exam Prep Ecosystem</t>
  </si>
  <si>
    <t>Chandrappa, S. and Nutan, Pasam and Hasan, Shabbir Ahmed and Rishikesh, K.G. and Chandran, Abhinav and Suthradhar, Amrit and Pai, Aditya H.</t>
  </si>
  <si>
    <t>2025 5th International Conference on Intelligent Technologies, CONIT 2025</t>
  </si>
  <si>
    <t>SYNCHRON AI is a game-changing chatbot that is committed to transforming traditional methods of exam preparation using the latest technologies like Natural Language Processing (NLP) and Machine Learning (ML). It provides an adaptive and personalized learn</t>
  </si>
  <si>
    <t>10.1109/CONIT65521.2025.11167432</t>
  </si>
  <si>
    <t>https://www.scopus.com/pages/publications/105018300966?origin=resultslist</t>
  </si>
  <si>
    <t>Adaptive Schedules; Collaborative Learning; Competitive Exams; Exam Preparation; Machine Learning; NLP; Personalized Learning; Real-Time Feedback; SYNCHRON AI</t>
  </si>
  <si>
    <t>Chatbots; Collaborative learning; Computer aided instruction; Distributed computer systems; E-learning; Education computing; Educational technology; Engineering education; Federated learning; Feedback; Machine learning; Natural language processing systems</t>
  </si>
  <si>
    <t>Emerging Technologies in Immersive Learning: A Systematic Review of Trends, Challenges, and Opportunities</t>
  </si>
  <si>
    <t>Ursachi, Tudor-Mihai and Brezoaie, Robert-Emanual and Dascalu, Maria-Iuliana</t>
  </si>
  <si>
    <t>2025 IEEE 2nd International Conference on Blockchain, Smart Healthcare and Emerging Technologies, SmartBlock4Health 2025</t>
  </si>
  <si>
    <t>Contribution: This systematic review identifies important trends, difficulties, and possibilities covered in recent research by looking at the literature on new technologies (VR, AR, and MR) in immersive learning. An organized overview of the current stat</t>
  </si>
  <si>
    <t>10.1109/SmartBlock4Health64843.2025.11189574</t>
  </si>
  <si>
    <t>https://www.scopus.com/pages/publications/105021087954?origin=resultslist</t>
  </si>
  <si>
    <t>augmented reality; emerging technologies; experiential learning; immersive learning; mixed reality; virtual reality</t>
  </si>
  <si>
    <t>Computer aided instruction; Costs; E-learning; Educational technology; Engineering education; Integration; Learning systems; Medical education; Motivation; Personnel training; Students; Teaching; Virtual reality; 'current; Emerging technologies; Experient</t>
  </si>
  <si>
    <t>Early warning and recommendation system for undergraduate students at higher education institutions based on machine learning methods</t>
  </si>
  <si>
    <t>Taqatqeh, Sameh and Agoyi, Mary</t>
  </si>
  <si>
    <t>With the rising complexity of student data and the growing need for timely academic interventions, higher education institutions increasingly require intelligent systems to support student success. This research proposes a machine learning-based early war</t>
  </si>
  <si>
    <t>10.7717/peerj-cs.3792</t>
  </si>
  <si>
    <t>https://www.scopus.com/pages/publications/105038001217?origin=resultslist</t>
  </si>
  <si>
    <t>Academic advising; Academic risk prediction; Early warning system; Ensemble methods; Feature selection; Higher education; Machine learning; Predictive analytics; SHAP explainability; Student retention</t>
  </si>
  <si>
    <t>Classification (of information); Curricula; Decision making; Education computing; Engineering education; Information systems; Intelligent systems; Learning systems; Population statistics; Predictive analytics; Recommender systems; Students; Academic advis</t>
  </si>
  <si>
    <t>A New Era of Productive Learning Focused on the Retention of Attention Span: VerbaSure</t>
  </si>
  <si>
    <t>Premnath, S. and Ekanayake, K. and Pieris, T. and Hettiarachchi, E. and Hewagamage, K.P.</t>
  </si>
  <si>
    <t>2025 5th International Conference on Advanced Research in Computing: Converging Horizons: Uniting Disciplines in Computing Research through AI Innovation, ICARC 2025 - Proceedings</t>
  </si>
  <si>
    <t>The COVID-19 pandemic has driven a major shift to online learning, creating significant challenges for educational institutions in Sri Lanka, particularly in addressing diverse learning needs and attention spans. This study highlights the need to keep stu</t>
  </si>
  <si>
    <t>10.1109/ICARC64760.2025.10963237</t>
  </si>
  <si>
    <t>https://www.scopus.com/pages/publications/105004548085?origin=resultslist</t>
  </si>
  <si>
    <t>Attention Retention; Evaluation techniques; Gamification; Multimodal content; Online Learning</t>
  </si>
  <si>
    <t>Engineering education; Attention retention; Educational institutions; Evaluation technique; Gamification; Multi-modal; Multimodal content; Online learning; Online learning environment; Productive learning; Sri Lanka; Students</t>
  </si>
  <si>
    <t>NuevAI: Streamlined Dataset Generator and Human Evaluator System for Development of Pedagogical Conversational Agents</t>
  </si>
  <si>
    <t>Sayeed, Salman and Pial, Saad Mohammad Rafid and Iqbal, Anindya</t>
  </si>
  <si>
    <t>CHItaly 2025 - Proceedings of the 16th Biannual Conference of the Italian SIGCHI Chapter</t>
  </si>
  <si>
    <t>The development of Pedagogical Conversational Agents (PCAs) made significant progress due to the rise of Large Language Models (LLMs). Yet, creating and evaluating PCAs remains a technically challenging task for educators. Our work presents a semi-autonom</t>
  </si>
  <si>
    <t>10.1145/3750069.3750094</t>
  </si>
  <si>
    <t>https://www.scopus.com/pages/publications/105022212987?origin=resultslist</t>
  </si>
  <si>
    <t>Dataset Generation; Educational Technology; Human Evaluation; Large Language Models; Pedagogical Conversational Agents</t>
  </si>
  <si>
    <t xml:space="preserve">Educational technology; Efficiency; Large datasets; Teaching; Conversational agents; Data-source; Dataset generation; Educational tools; Human evaluation; Language model; Large language model; Multi-turn; Pedagogical conversational agent; Semi-autonomous </t>
  </si>
  <si>
    <t>Predicting and Understanding Student Learning Performance Using Multi-Source Sparse Attention Convolutional Neural Networks</t>
  </si>
  <si>
    <t>Zhang, Yupei and An, Rui and Liu, Shuhui and Cui, Jiaqi and Shang, Xuequn</t>
  </si>
  <si>
    <t>IEEE Transactions on Big Data</t>
  </si>
  <si>
    <t>118 - 132</t>
  </si>
  <si>
    <t>Predicting and understanding student learning performance has been a long-standing task in learning science, which can benefit personalized teaching and learning. This study shows that the progress towards this task can be accelerated by using learning re</t>
  </si>
  <si>
    <t>10.1109/TBDATA.2021.3125204</t>
  </si>
  <si>
    <t>https://www.scopus.com/pages/publications/85121492216?origin=resultslist</t>
  </si>
  <si>
    <t>attention strategy; Convolution neural network; educational data mining; multi-source feature learning; personalized teaching and learning; student performance prediction</t>
  </si>
  <si>
    <t>Big data; Convolution; Deep learning; Education computing; Forecasting; Job analysis; Neural networks; Students; Surveys; Teaching; Attention strategy; Convolution neural network; Convolutional neural network; Educational data mining; Feature learning; Fe</t>
  </si>
  <si>
    <t>23327790</t>
  </si>
  <si>
    <t>Cited by: 54</t>
  </si>
  <si>
    <t>From Theory to Practice: Leveraging VR and CTF Competitions for Advanced Cybersecurity Education</t>
  </si>
  <si>
    <t>Muulmann, Triin and Lugo, Ricardo Gregorio and Ottis, Rain</t>
  </si>
  <si>
    <t>108 - 122</t>
  </si>
  <si>
    <t>16333 LNCS</t>
  </si>
  <si>
    <t>This study explores the integration of gamified approaches, such as Capture the Flag (CTF) exercises, within cybersecurity education to enhance engagement and skill development. Focusing on the use of virtual reality (VR), the research aims to examine its</t>
  </si>
  <si>
    <t>10.1007/978-3-032-12660-3_9</t>
  </si>
  <si>
    <t>https://www.scopus.com/pages/publications/105028357837?origin=resultslist</t>
  </si>
  <si>
    <t>Cybersecurity education; DigComp; Digital competence; ESCO; Gamified learning; Virtual reality</t>
  </si>
  <si>
    <t xml:space="preserve">Computer aided instruction; Cybersecurity; E-learning; Education computing; Employment; Engineering education; Learning systems; Students; Capture the flag; Cyber security; Cyber-security educations; Digcomp; Digital competence; Digital literacies; ESCO; </t>
  </si>
  <si>
    <t>The Application of Data Mining in Dynamic Monitoring of Mental Health Trends Among College Students</t>
  </si>
  <si>
    <t>Wei, Xiangying</t>
  </si>
  <si>
    <t>International Journal of Healthcare Information Systems and Informatics</t>
  </si>
  <si>
    <t>Monitoring mental health trends among college students is essential for campus healthcare. Traditional methods often lack data coverage and timely detection, limiting intervention effectiveness. This study proposes a dynamic monitoring framework using adv</t>
  </si>
  <si>
    <t>10.4018/IJHISI.391363</t>
  </si>
  <si>
    <t>https://www.scopus.com/pages/publications/105020058532?origin=resultslist</t>
  </si>
  <si>
    <t>Clustering Analysis; Data Mining; Dynamic Monitoring; E-Health; Intelligent Early Warning; Public Health Informatics; Student Mental Health</t>
  </si>
  <si>
    <t xml:space="preserve">Behavioral research; Data accuracy; Data integration; Data privacy; eHealth; Electronic health record; Medical informatics; Public health; Risk assessment; Clustering analysis; College students; Dynamic monitoring; E health; Early warning; Health trends; </t>
  </si>
  <si>
    <t>15553396</t>
  </si>
  <si>
    <t>An Integration of AI and Traditional Methodology in the Education Field in Order to: Transform the Trends</t>
  </si>
  <si>
    <t>Marmoah, Sri and Murwaningsih, Tri and Nurhasanah, Farida and Saddhono, Kundharu and Sutomo, Artono Dwijo and Legowo, Budi</t>
  </si>
  <si>
    <t>884 - 889</t>
  </si>
  <si>
    <t>Within such accelerating and fast-paced environments of change, it has been realized and observed that the adoption and integration of artificial intelligence (AI) technologies are transforming into very powerful and promising forces for bringing about re</t>
  </si>
  <si>
    <t>10.1109/ICACITE60783.2024.10616679</t>
  </si>
  <si>
    <t>https://www.scopus.com/pages/publications/85201807741?origin=resultslist</t>
  </si>
  <si>
    <t>Academic Research; Administrative Tasks; Artificial Intelligence; Automation; Challenges; Higher Education; Integration; Learning Environments; Pedagogy; Transformative Trends</t>
  </si>
  <si>
    <t xml:space="preserve">Adversarial machine learning; Artificial intelligence; Federated learning; Integration; Students; Academic research; Administrative tasks; Artificial intelligence technologies; Challenge; Education field; High educations; Learning environments; Pedagogy; </t>
  </si>
  <si>
    <t>A multimodal vision–language framework using contrastive language-image pre-training for robust facial expression analysis in realistic classroom environments</t>
  </si>
  <si>
    <t>Ayub, Nighat and Alam, Fakhre and Ullah, Asad and Ahmad, Jamil and Farman, Haleem and Shafai, Walid El and Sedik, Ahmad</t>
  </si>
  <si>
    <t>Journal of King Saud University - Computer and Information Sciences</t>
  </si>
  <si>
    <t>Facial expression recognition (FER) is a computing process that automatically classifies and recognizes human emotional categories based on a single or a sequence of facial images. In classrooms, FER has also become a crucial technique for bringing the af</t>
  </si>
  <si>
    <t>https://www.scopus.com/pages/publications/105046751777?origin=resultslist</t>
  </si>
  <si>
    <t>Affective computing; Educational technology; Emotion recognition; Facial expression recognition</t>
  </si>
  <si>
    <t>Springer International Publishing</t>
  </si>
  <si>
    <t>13191578</t>
  </si>
  <si>
    <t>Reconstructing Character Education in Elementary Schools through Digital Reflective Applications: Integrating Values, School Culture, and Social-Emotional Intelligence in the SEL Approach</t>
  </si>
  <si>
    <t>Manaf, Abdul and Marini, Arita and Japar, M.</t>
  </si>
  <si>
    <t>1481 - 1493</t>
  </si>
  <si>
    <t>This study aims to reconstruct a character education model in elementary schools through the integration of digital reflective applications with the Socio-Emotional Learning (SEL) approach, which combines personal values, school culture, and social-emotio</t>
  </si>
  <si>
    <t>10.18178/ijiet.2026.16.6.2614</t>
  </si>
  <si>
    <t>https://www.scopus.com/pages/publications/105041575877?origin=resultslist</t>
  </si>
  <si>
    <t>character education; digital reflective application; integration of values and school culture; narrative reflection; Socio-Emotional Learning (SEL)</t>
  </si>
  <si>
    <t>Unveiling joint attention dynamics: Examining multimodal engagement in an immersive collaborative astronomy simulation</t>
  </si>
  <si>
    <t>Kang, Jina and Zhou, Yiqiu and Rajarathinam, Robin Jephthah and Tan, Yuanru and Shaffer, David Williamson</t>
  </si>
  <si>
    <t>213</t>
  </si>
  <si>
    <t>Numerous computer-based collaborative learning environments have been developed to support collaborative problem-solving. Yet, understanding the complexity and dynamic nature of the collaboration process remains a challenge. This is particularly true in o</t>
  </si>
  <si>
    <t>10.1016/j.compedu.2024.105002</t>
  </si>
  <si>
    <t>https://www.scopus.com/pages/publications/85184659319?origin=resultslist</t>
  </si>
  <si>
    <t>Applications in subject areas; Augmented and virtual reality; Cooperative/collaborative learning; Simulations</t>
  </si>
  <si>
    <t>Computer aided instruction; E-learning; Students; Virtual reality; Applications in subject areas; Augmented and virtual realities; Collaborative problem solving; Cooperative/ collaborative learning; Immersive; Immersive learning; Joint attention; Learning</t>
  </si>
  <si>
    <t>Cited by: 25</t>
  </si>
  <si>
    <t>Research on the Improvement Mechanism of College Foreign Language Teachers' Intellectual Education Literacy Under AI Empowerment</t>
  </si>
  <si>
    <t>Yu, Ling</t>
  </si>
  <si>
    <t>With the rapid advancement of AI technology, enhancing foreign language teachers' intellectual education literacy in colleges is vital. Unlike traditional methods focusing solely on IT skills, intelligent literacy emphasizes understanding AI tools, data p</t>
  </si>
  <si>
    <t>10.4018/IJKM.407406</t>
  </si>
  <si>
    <t>https://www.scopus.com/pages/publications/105039166885?origin=resultslist</t>
  </si>
  <si>
    <t>Artificial Intelligence Empowerment; Data-Driven Evaluation; Foreign Language Teacher Development; Intelligent Education Literacy; Teachers' Professional Development</t>
  </si>
  <si>
    <t>Artificial intelligence; Curricula; Engineering education; Ethical aspects; Students; Teaching; Artificial intelligence empowerment; Data driven; Data-driven evaluation; Foreign language; Foreign language teacher development; Improvement mechanism; Intell</t>
  </si>
  <si>
    <t>Big Data Technology in English Language Teaching and Its Impact on Student Engagement</t>
  </si>
  <si>
    <t>243 - 246</t>
  </si>
  <si>
    <t>Big data analytics has revolutionized English language teaching (ELT), transforming traditional pedagogical strategies. In this study, key problems in implementing big data-enhanced instructional practices were identified: data-driven personalized learnin</t>
  </si>
  <si>
    <t>10.1109/ICCBE65177.2025.11256051</t>
  </si>
  <si>
    <t>https://www.scopus.com/pages/publications/105031142519?origin=resultslist</t>
  </si>
  <si>
    <t>Adaptive assessment; Big data; English language teaching; Personalized learning; Student engagement</t>
  </si>
  <si>
    <t>Advanced Analytics; Data privacy; E-learning; Engineering education; Personnel training; Students; Teaching; Adaptive assessment; Data analytics; Data driven; Data technologies; English language teaching; Gamification; Instructional practices; Pedagogical</t>
  </si>
  <si>
    <t>Transformer-based semantic indexing for aspect-based sentiment analysis using an enhanced index generation algorithm with BERT</t>
  </si>
  <si>
    <t>Jazuli, Aahmad and Widowati and Chamid, Ahmad Abdul and Kusumaningrum, Retno</t>
  </si>
  <si>
    <t>International Journal of Advanced Technology and Engineering Exploration</t>
  </si>
  <si>
    <t>907 - 926</t>
  </si>
  <si>
    <t>Aspect-based sentiment analysis (ABSA) of student comments about universities presents a significant challenge in the field of natural language processing (NLP). These comments often exhibit complex structures, addressing multiple aspects such as faciliti</t>
  </si>
  <si>
    <t>10.19101/IJATEE.2024.111102114</t>
  </si>
  <si>
    <t>https://www.scopus.com/pages/publications/105012208613?origin=resultslist</t>
  </si>
  <si>
    <t>Aspect-based sentiment analysis; BERT; Semantic indexing; Student feedback analysis; Transformer models</t>
  </si>
  <si>
    <t>Accent Social and Welfare Society</t>
  </si>
  <si>
    <t>23945443</t>
  </si>
  <si>
    <t>One Aggregated Approach in Multidisciplinary Based Modeling to Predict Further Students’ Education</t>
  </si>
  <si>
    <t>Delović, Milan Ran and Aleksić, Aleksandar and Radovanović, Radovan and Stojanović, Vladica and Čabarkapa, Milan and Delović, Dragan Ran</t>
  </si>
  <si>
    <t>Mathematics</t>
  </si>
  <si>
    <t>In this paper, one multidisciplinary-applicable aggregated model has been proposed and verified. This model uses traditional techniques, on the one hand, and algorithms of machine learning as modern techniques, on the other hand, throughout the determinat</t>
  </si>
  <si>
    <t>10.3390/math10142381</t>
  </si>
  <si>
    <t>https://www.scopus.com/pages/publications/85134049808?origin=resultslist</t>
  </si>
  <si>
    <t>applied mathematics; classification and discrimination; linear regression; multicriteria decision making; prediction theory; theory of mathematical modeling</t>
  </si>
  <si>
    <t>22277390</t>
  </si>
  <si>
    <t>Students’ engagement prediction in online learning context via face emotion and data features with improved LinkNet and Bi-LSTM architecture</t>
  </si>
  <si>
    <t>Maddu, Rama Bhadra Rao and Murugappan, S.</t>
  </si>
  <si>
    <t>Journal of Ambient Intelligence and Humanized Computing</t>
  </si>
  <si>
    <t>993 - 1009</t>
  </si>
  <si>
    <t>Predicting student engagement is crucial for identifying the potential mental health challenges that may hinder academic performance and overall well-being. Early detection and intervention are essential to prevent detrimental effects on academic performa</t>
  </si>
  <si>
    <t>10.1007/s12652-025-04997-x</t>
  </si>
  <si>
    <t>https://www.scopus.com/pages/publications/105012512051?origin=resultslist</t>
  </si>
  <si>
    <t>Bidirectional long short-term memory; I-EF; Improved LinkNet; SLBT; Student engagement prediction</t>
  </si>
  <si>
    <t>Classification (of information); Data handling; E-learning; Extraction; Feature extraction; Forecasting; Students; Bidirectional long short-term memory; Data feature; I-EF; Improved linknet; LinkNet; Online learning; Short term memory; SLBT; Student engag</t>
  </si>
  <si>
    <t>18685137</t>
  </si>
  <si>
    <t>Digital Transformation of University Political Education Courses Using Artificial Intelligence and Machine Learning</t>
  </si>
  <si>
    <t>Zhang, Wentai</t>
  </si>
  <si>
    <t>Proceedings - 2025 International Conference on Low-Altitude Airspace and Artificial Intelligence, LAAI 2025</t>
  </si>
  <si>
    <t>342 - 347</t>
  </si>
  <si>
    <t xml:space="preserve">The integration of artificial intelligence (AI) and machine learning (ML) into university political education addresses key challenges, including low student engagement, limited adaptability to diverse learning needs, and reliance on traditional teaching </t>
  </si>
  <si>
    <t>10.1109/LAAI69202.2025.00067</t>
  </si>
  <si>
    <t>https://www.scopus.com/pages/publications/105042220825?origin=resultslist</t>
  </si>
  <si>
    <t>Computing Technologies; Machine Learning; Political Education; Predictive Analytics</t>
  </si>
  <si>
    <t>Clustering algorithms; Computer aided instruction; Curricula; E-learning; Education computing; Engineering education; Federated learning; Information management; Learning systems; Machine learning; Students; Teaching; Artificial intelligence learning; Clu</t>
  </si>
  <si>
    <t>The Impact of Implementing a Web-Based E-Attendance System on Enhancing Student Learning Motivation in Vocational High Schools</t>
  </si>
  <si>
    <t>Heru, Maulidiyah Junnatul Azizah and Jatimi, Atika and Sulfiyan, Wahyu and Nisa'Fiddaroini, Fakhrun and Munir, Zainal and Dewi, Novela Eka Candra</t>
  </si>
  <si>
    <t>Proceedings -  International Conference on Education and Technology, ICET</t>
  </si>
  <si>
    <t>52 - 58</t>
  </si>
  <si>
    <t>The increasing use of technology in education has opened new possibilities for improving student motivation and attendance management, particularly in vocational high schools, where consistent attendance is essential for skill acquisition. This study aims</t>
  </si>
  <si>
    <t>10.1109/ICET64717.2024.10778456</t>
  </si>
  <si>
    <t>https://www.scopus.com/pages/publications/85214703044?origin=resultslist</t>
  </si>
  <si>
    <t>student learning motivation; vocational high schools; web-based e-attendance system</t>
  </si>
  <si>
    <t>Motivation; Students; Attendance systems; Control groups; Enhancing student learning; Higher School; Student attendances; Student learning motivations; Student motivation; Vocational high school; Web based; Web-based e-attendance system; Apprentices</t>
  </si>
  <si>
    <t>Institute of Electrical and Electronics Engineers</t>
  </si>
  <si>
    <t>27704807</t>
  </si>
  <si>
    <t>Impact of AI-generated storytelling vs. gamified learning on vocabulary retention and engagement in CALL environments</t>
  </si>
  <si>
    <t>Namaziandost, Ehsan and Çakmak, Fidel</t>
  </si>
  <si>
    <t>Artificial Intelligence (AI) and gamified learning have attracted interest from language educators and researchers in the field of teaching English as a Foreign Language (EFL) for their potential to enhance vocabulary acquisition outcomes. However, the re</t>
  </si>
  <si>
    <t>10.1016/j.caeai.2025.100505</t>
  </si>
  <si>
    <t>https://www.scopus.com/pages/publications/105022812754?origin=resultslist</t>
  </si>
  <si>
    <t>AI-Generated storytelling; CALL environments; Engagement; Gamified learning; Vocabulary retention</t>
  </si>
  <si>
    <t>Artificial intelligence; Federated learning; Learning systems; Vocabulary control; Artificial intelligence-generated storytelling; CALL environment; Control groups; Engagement; Gamified learning; Interactive narrative; Learning groups; Teaching English as</t>
  </si>
  <si>
    <t>Design and Implementation of an Intelligent Diagnostic System for Academic Performance Analysis in Medical Education</t>
  </si>
  <si>
    <t>Aucancela, Margarita and González-Briones, Alfonso and Chamoso, Pablo</t>
  </si>
  <si>
    <t>Electronics (Switzerland)</t>
  </si>
  <si>
    <t>This study presents the design and implementation of a single-institution intelligent diagnostic system to identify low mid-period academic performance, aimed at activating proactive and preventive tutoring before a final assessment. The system features a</t>
  </si>
  <si>
    <t>10.3390/electronics15132801</t>
  </si>
  <si>
    <t>https://www.scopus.com/pages/publications/105044610541?origin=resultslist</t>
  </si>
  <si>
    <t>academic performance; explainable AI; GroupKFold; intelligent diagnostic system; medical education; mixed linear model; Random Forest; SHAP; Streamlit</t>
  </si>
  <si>
    <t>Computer aided instruction; Diagnosis; Education computing; Intelligent systems; Medical computing; Predictive analytics; Students; Teaching; Academic performance; Design and implementations; Explainable AI; Groupkfold; Intelligent diagnostic systems; Lin</t>
  </si>
  <si>
    <t>20799292</t>
  </si>
  <si>
    <t>Technological and managerial aspects of the digital transformation in music education: A big data perspective</t>
  </si>
  <si>
    <t>Fan, Cunjia and Shi, Lei</t>
  </si>
  <si>
    <t>1075 - 1086</t>
  </si>
  <si>
    <t xml:space="preserve">In recent years, music education has undergone profound shifts owing to the rapid advancements in digitalisation and the integration of big data technologies. Traditional methodologies in this domain have been challenged, particularly in the selection of </t>
  </si>
  <si>
    <t>10.1177/14727978251322025</t>
  </si>
  <si>
    <t>https://www.scopus.com/pages/publications/105000281475?origin=resultslist</t>
  </si>
  <si>
    <t>big data; feature extraction; Mel spectrogram; music education; significance weighting; stylistic track recommendation</t>
  </si>
  <si>
    <t>Big data; Music; Data technologies; Digital transformation; Features extraction; Managerial aspects; Mel spectrogram; Music education; Significance weighting; Spectrograms; Stylistic track recommendation; Technological aspects; Spectrographs</t>
  </si>
  <si>
    <t>Cited by: 3; All Open Access; Bronze Open Access</t>
  </si>
  <si>
    <t>Web-Oriented Application for Student Attendance Accounting with a Module for Automatic Parsing of Class Schedules</t>
  </si>
  <si>
    <t>Huk, Yurii and Dostalek, Libor and Owedyk, Jan and Harutyunyan, Hamlet and Yushko, Andriy</t>
  </si>
  <si>
    <t>165 - 174</t>
  </si>
  <si>
    <t>3974</t>
  </si>
  <si>
    <t>The automation of academic schedule parsing and student attendance tracking is crucial for modern educational institutions. Traditional methods relying on rule-based Excel parsing are prone to errors and lack adaptability to unstructured formats. This stu</t>
  </si>
  <si>
    <t>https://www.scopus.com/pages/publications/105008492796?origin=resultslist</t>
  </si>
  <si>
    <t>Artificial intelligence; data extraction; deep learning; machine learning; natural language processing; schedule parsing</t>
  </si>
  <si>
    <t>Automation; Data handling; Data mining; Education computing; Extraction; Learning algorithms; Learning systems; Natural language processing systems; Students; Syntactics; Automatic parsing; Comparative analyzes; Data extraction; Deep learning; Language pr</t>
  </si>
  <si>
    <t>Student Dropout Prediction in Higher Education Using Generative AI and Large Language Models</t>
  </si>
  <si>
    <t>Nadim, Muhammad Amin and Marsico, Emanuele and Di Fuccio, Raffaele and Saqr, Mohammed and Naseem, Usman and Khan, Sher Alam and Nawaz, Usman</t>
  </si>
  <si>
    <t>369 - 379</t>
  </si>
  <si>
    <t>1701 LNNS</t>
  </si>
  <si>
    <t>Higher education dropout rates have emerged as a critical global concern, underscoring the urgent need for targeted interventions to enhance student retention and academic success. Addressing the persistent challenge of student attrition in higher educati</t>
  </si>
  <si>
    <t>10.1007/978-3-032-09905-1_28</t>
  </si>
  <si>
    <t>https://www.scopus.com/pages/publications/105039462955?origin=resultslist</t>
  </si>
  <si>
    <t>Dropout; Higher education; Learning motivation; LLMs; Machine learning</t>
  </si>
  <si>
    <t>Data privacy; Education computing; Federated learning; Learning algorithms; Machine learning; Metadata; Natural language processing systems; Prediction models; Predictive analytics; Students; Dropout; Educational theory; High educations; Innovative method</t>
  </si>
  <si>
    <t>Networks and Learning: A View from Physics</t>
  </si>
  <si>
    <t>Traxler, Adrienne</t>
  </si>
  <si>
    <t>Journal of Learning Analytics</t>
  </si>
  <si>
    <t>111 - 119</t>
  </si>
  <si>
    <t>Like learning analytics, physics education research is a relatively young field that draws on perspectives from multiple disciplines. Network analysis has an even more heterodox perspective, with roots in mathematics, sociology, and, more recently, comput</t>
  </si>
  <si>
    <t>10.18608/jla.2022.7669</t>
  </si>
  <si>
    <t>https://www.scopus.com/pages/publications/85133267949?origin=resultslist</t>
  </si>
  <si>
    <t>gender; network analysis; physics education research</t>
  </si>
  <si>
    <t>Society for Learning Analytics Research</t>
  </si>
  <si>
    <t>19297750</t>
  </si>
  <si>
    <t>Cited by: 13; All Open Access; Gold Open Access; Green Open Access</t>
  </si>
  <si>
    <t>Research on data modeling and strategy optimization algorithm of teacher guidance behavior for precision teaching</t>
  </si>
  <si>
    <t>Dandan, Zhang and Hongtao, Cui</t>
  </si>
  <si>
    <t>Proceedings of SPIE - The International Society for Optical Engineering</t>
  </si>
  <si>
    <t>13794</t>
  </si>
  <si>
    <t>This study focuses on the data modeling and strategy optimization algorithm of teacher guidance behavior for precision teaching. In view of the lag and blindness of the traditional experience-driven guidance mode, this paper puts forward a trinity analysi</t>
  </si>
  <si>
    <t>10.1117/12.3082462</t>
  </si>
  <si>
    <t>https://www.scopus.com/pages/publications/105022252709?origin=resultslist</t>
  </si>
  <si>
    <t>data modeling; DRL Tutor; MST GNN; precision teaching; strategy optimization; teacher guidance behavior</t>
  </si>
  <si>
    <t>Behavioral research; Computer aided instruction; Data mining; Education computing; Extraction; Learning algorithms; Metadata; Students; Teaching; Tuning; Data modeling; DRL tutor; Model optimization; MST GNN; Multi-modal; Optimization algorithms; Precisio</t>
  </si>
  <si>
    <t>SPIE</t>
  </si>
  <si>
    <t>0277786X</t>
  </si>
  <si>
    <t>Enhancing pre-service teachers' reflective thinking skills through generative AI-assisted digital storytelling creation: A three-dimensional framework analysis</t>
  </si>
  <si>
    <t>Wei, Xiaodong and Wang, Lei and Koszalka, Tiffany A. and Lee, Lap-Kei and Liu, Ruixue</t>
  </si>
  <si>
    <t>235</t>
  </si>
  <si>
    <t>Developing reflective thinking skills (RTS) in pre-service teachers remains a challenge in teacher education, particularly in the context of integrating emerging technologies. While digital storytelling (DST) has shown promise in fostering reflective prac</t>
  </si>
  <si>
    <t>10.1016/j.compedu.2025.105356</t>
  </si>
  <si>
    <t>https://www.scopus.com/pages/publications/105005172917?origin=resultslist</t>
  </si>
  <si>
    <t>21st century abilities; Improving classroom teaching; Media in education; Teacher professional development; Teaching/learning strategies</t>
  </si>
  <si>
    <t>Engineering education; Personnel training; 21st century ability; Digital storytelling; Experimental groups; Improving classroom teaching; Media in education; Preservice teachers; Reflective thinking; Teacher professional development; Teaching/learning str</t>
  </si>
  <si>
    <t>Cited by: 28</t>
  </si>
  <si>
    <t>StuLAC: An Adaptive LLM-Driven Framework for Scalable Student Feedback Analysis in Software-Driven Educational Systems</t>
  </si>
  <si>
    <t>Sun, Yicheng and Yu, Hi Kuen and Keung, Jacky and Cao, Yuchen and Liao, Yihan</t>
  </si>
  <si>
    <t>Proceedings - 2025 IEEE 49th Annual Computers, Software, and Applications Conference, COMPSAC 2025</t>
  </si>
  <si>
    <t>121 - 130</t>
  </si>
  <si>
    <t>With the growing scalability challenges in higher education, automated student feedback analysis has become crucial for course evaluation and pedagogical improvements. However, traditional methods struggle to handle mixed sentiments, adapt to evolving fee</t>
  </si>
  <si>
    <t>10.1109/COMPSAC65507.2025.00024</t>
  </si>
  <si>
    <t>https://www.scopus.com/pages/publications/105016187093?origin=resultslist</t>
  </si>
  <si>
    <t>Adaptive Caching in NLP; Educational Data Engineering; LLM-Driven Feedback Analysis; Scalable AI for Academic Evaluation; Software-Optimized Sentiment Classification</t>
  </si>
  <si>
    <t>Artificial intelligence; Classification (of information); Curricula; Decision making; Education computing; Engineering education; Feedback; Sentiment analysis; Software design; Students; Teaching; Template matching; Adaptive caching; Adaptive caching in N</t>
  </si>
  <si>
    <t>Can AI grade your essays? A comparative analysis of large language models and teacher ratings in multidimensional essay scoring</t>
  </si>
  <si>
    <t>Seßler, Kathrin and Fürstenberg, Maurice and Bühler, Babette and Kasneci, Enkelejda</t>
  </si>
  <si>
    <t>462 - 472</t>
  </si>
  <si>
    <t>The manual assessment and grading of student writing is a time-consuming yet critical task for teachers. Recent developments in generative AI offer potential solutions to facilitate essay-scoring tasks for teachers. In our study, we evaluate the performan</t>
  </si>
  <si>
    <t>10.1145/3706468.3706527</t>
  </si>
  <si>
    <t>https://www.scopus.com/pages/publications/105000227912?origin=resultslist</t>
  </si>
  <si>
    <t>Automated Essay Scoring; Education; Large Language Models; Learning Analytics</t>
  </si>
  <si>
    <t xml:space="preserve">Artificial intelligence; Contrastive Learning; Human engineering; Open source software; Teaching; Automated essay scoring; Closed source; Comparative analyzes; Critical tasks; Internal consistency; Language model; Large language model; Learning analytic; </t>
  </si>
  <si>
    <t>Cited by: 44; All Open Access; Gold Open Access; Green Open Access</t>
  </si>
  <si>
    <t>AI-Assisted Theorem Discovery: Revolutionizing Mathematical Exploration</t>
  </si>
  <si>
    <t>Nursanti, Yuli Bangun and Sujadi, Imam and Kurniawati, Ira and Wulandari, Arum Nur and Andriatna, Riki</t>
  </si>
  <si>
    <t>Proceedings - 1st International Conference on Frontier Technologies and Solutions, ICFTS 2025</t>
  </si>
  <si>
    <t>In more developed countries, this so-called dropout phenomenon has become a critical issue to the sustainability of educational institutions, since it leads to waste of resources (time, effort, money, etc.), squandered potential (of both the student and t</t>
  </si>
  <si>
    <t>10.1109/ICFTS62006.2025.11031488</t>
  </si>
  <si>
    <t>https://www.scopus.com/pages/publications/105010835073?origin=resultslist</t>
  </si>
  <si>
    <t>AI-assisted theorem discovery; deep learning; dropout prediction; dropout risk models; educational data mining; machine learning; predictive analytics; student retention; supervised learning; unsupervised learning</t>
  </si>
  <si>
    <t>Consumer behavior; Decision trees; Deep neural networks; Economics; Forestry; Learning systems; Logistic regression; Prediction models; Random forests; Students; Support vector regression; Unsupervised learning; AI-assisted theorem discovery; Deep learnin</t>
  </si>
  <si>
    <t>Enhancing problem-solving skills with smart personal assistant technology</t>
  </si>
  <si>
    <t>Winkler, Rainer and Söllner, Matthias and Leimeister, Jan Marco</t>
  </si>
  <si>
    <t>165</t>
  </si>
  <si>
    <t>Smart Personal Assistants (SPAs; such as Amazon's Alexa or Google's Assistant) let users interact with computers in a more natural and sophisticated way that was not possible before. Although there exists an increasing amount of research of SPA technology</t>
  </si>
  <si>
    <t>10.1016/j.compedu.2021.104148</t>
  </si>
  <si>
    <t>https://www.scopus.com/pages/publications/85100423329?origin=resultslist</t>
  </si>
  <si>
    <t>Field quasi-experiment; Mixed-method; Problem-solving skills; Scaffolding; Smart personal assistant technology; Technology-mediated learning</t>
  </si>
  <si>
    <t>Scaffolds; Business schools; Focus groups; Learning process; Personal assistants; Problem solving skills; Quasi-experiments; Skill development; Technology in educations; Students</t>
  </si>
  <si>
    <t>Cited by: 107; All Open Access; Hybrid Gold Open Access</t>
  </si>
  <si>
    <t>PharmaForge: A 3D Simulation Game for Learning Drug Compounding</t>
  </si>
  <si>
    <t>Sappari, Alfaisal M. and Awad, Jameel A. and Gana-An, Jeff-Tyrel A. and Belamide, Gadmar M. and Jaafar, Rhamirl B.</t>
  </si>
  <si>
    <t>2026 International Conference on Artificial Intelligence for Sustainable Engineering and Innovation, AISEI 2026</t>
  </si>
  <si>
    <t>321 - 327</t>
  </si>
  <si>
    <t xml:space="preserve">Pharmaceutical compounding is a foundational skill in pharmacy education, yet traditional laboratory instruction often faces limitations such as resource constraints, safety concerns, and reduced student engagement. This study developed PharmaForge, a 3D </t>
  </si>
  <si>
    <t>10.1109/AISEI68628.2026.11572838</t>
  </si>
  <si>
    <t>https://www.scopus.com/pages/publications/105044290764?origin=resultslist</t>
  </si>
  <si>
    <t>pharmaceutical compounding; simulation-based educational game; student engagement; Unreal Engine; virtual laboratory</t>
  </si>
  <si>
    <t>Compounding (chemical); Drug products; E-learning; Education computing; Interactive computer graphics; Knowledge acquisition; Laboratories; Learning systems; Medicine; Virtual reality; 3D simulations; Educational game; Games for learning; Laboratory instr</t>
  </si>
  <si>
    <t>Escape from mathematical−skill deficiencies: gamified interactive platforms to reinforce quantitative skills</t>
  </si>
  <si>
    <t>Rincón, Yeray Rodríguez and Munárriz, Ana and Magreñán Ruiz, Ángel Alberto</t>
  </si>
  <si>
    <t>International Journal of Educational Technology in Higher Education</t>
  </si>
  <si>
    <t>23</t>
  </si>
  <si>
    <t>This study analyzes the design and implementation of Escape Room platforms as an educational reinforcement strategy to address quantitative deficiencies among students entering university programs in Economics and Business. These deficiencies, rooted in s</t>
  </si>
  <si>
    <t>10.1186/s41239-025-00576-4</t>
  </si>
  <si>
    <t>https://www.scopus.com/pages/publications/105027472703?origin=resultslist</t>
  </si>
  <si>
    <t>Educational reinforcement; Escape Room; Gamification; Higher Education; Interactive platforms; Quantitative skills</t>
  </si>
  <si>
    <t>23659440</t>
  </si>
  <si>
    <t>Scalable and Efficient Student Behavior Prediction using Parallelized Clustering and AHP-weighted KNN</t>
  </si>
  <si>
    <t>Guozhang, Li and Alfred, Rayner and Pailus, Rayner and Fengchang, Xu and Haviluddin</t>
  </si>
  <si>
    <t>Journal of ICT Research and Applications</t>
  </si>
  <si>
    <t>142 - 165</t>
  </si>
  <si>
    <t xml:space="preserve">This study proposes a scalable and efficient approach for predicting student behaviour in large-scale educational environments. It introduces a parallelized hybrid model that combines Density-Based Optimized K-Means clustering, Analytic Hierarchy Process </t>
  </si>
  <si>
    <t>10.5614/itbj.ict.res.appl.2025.19.2.3</t>
  </si>
  <si>
    <t>https://www.scopus.com/pages/publications/105034325675?origin=resultslist</t>
  </si>
  <si>
    <t>analytic hierarchy process (ahp); density-based optimized k-means; educational data mining; feature weighting; hybrid model; parallelized feature selection; parallelized model training; student behavior prediction</t>
  </si>
  <si>
    <t>Institute for Research and Community Services, Institut Teknologi Bandung</t>
  </si>
  <si>
    <t>23375787</t>
  </si>
  <si>
    <t>An Online Teaching of Ideological and Political Education using Contrastive Learning with Bidirectional Long Short-Term Memory</t>
  </si>
  <si>
    <t>Lian, Lingling</t>
  </si>
  <si>
    <t>2024 1st International Conference on Software, Systems and Information Technology, SSITCON 2024</t>
  </si>
  <si>
    <t>In this era, the integration of ideological and political education into college English courses is essential for evolving the social responsibilities and characteristic behaviors of students. Previous researchers have developed several systems using trad</t>
  </si>
  <si>
    <t>10.1109/SSITCON62437.2024.10795934</t>
  </si>
  <si>
    <t>https://www.scopus.com/pages/publications/85215684424?origin=resultslist</t>
  </si>
  <si>
    <t>bidirectional long short-term memory; contrastive learning; ideological and political education; interactive system speech recognition</t>
  </si>
  <si>
    <t>Adversarial machine learning; Curricula; Federated learning; Speech recognition; Students; Bidirectional long short-term memory; College English; Ideological and political educations; Interactive system; Interactive system speech recognition; On-line sett</t>
  </si>
  <si>
    <t>Research on the refinement of college student education management based on artificial intelligence</t>
  </si>
  <si>
    <t>Lai, Qiujia</t>
  </si>
  <si>
    <t>In the era of digital transformation, traditional college student education (CSE) management faces several challenges, including inefficiency, a lack of personalization, and delayed decision-making. To address these limitations, this research aims to inte</t>
  </si>
  <si>
    <t>10.1007/s44163-025-00651-9</t>
  </si>
  <si>
    <t>https://www.scopus.com/pages/publications/105027637967?origin=resultslist</t>
  </si>
  <si>
    <t>Artificial gorilla troops optimizer-driven residual recurrent neural network (AGTO-ResRNN); Education management; Higher education; Personalized learning support; Student profiling</t>
  </si>
  <si>
    <t xml:space="preserve">Behavioral research; Curricula; Decision making; Deep learning; Education computing; Engineering education; Information management; Learning systems; Students; Artificial gorilla troop optimizer-driven residual recurrent neural network; College students; </t>
  </si>
  <si>
    <t>A Hybrid Approach Using Decision Tree and Multiple Linear Regression for Predicting Students’ Performance Based on Learning Progress and Behavior</t>
  </si>
  <si>
    <t>Dang, Tran Khanh and Nguyen, Huu Huong Xuan</t>
  </si>
  <si>
    <t>SN Computer Science</t>
  </si>
  <si>
    <t>Analyzing factors related to learning progress such as coursework scores, how many times students were occasion, plagiarism or failure, and time spent at the library helps to determine factors in the reduction of dropouts. Many researchers have used tradi</t>
  </si>
  <si>
    <t>10.1007/s42979-022-01251-5</t>
  </si>
  <si>
    <t>https://www.scopus.com/pages/publications/85134749202?origin=resultslist</t>
  </si>
  <si>
    <t>Decision support system; Decision tree; Multiple linear regression; Student performance predictions</t>
  </si>
  <si>
    <t>2662995X</t>
  </si>
  <si>
    <t>Exploring Differences Between Hybrid GPT-Human and Human-Created Qualitative Codebooks in an Educational Game</t>
  </si>
  <si>
    <t>Liu, Xiner and Wei, Zhanlan and Barany, Amanda and Ocumpaugh, Jaclyn and Baker, Ryan S. and Zambrano, Andres Felipe and Zhou, Yiqiu and Giordano, Camille</t>
  </si>
  <si>
    <t>193 - 208</t>
  </si>
  <si>
    <t>2677 CCIS</t>
  </si>
  <si>
    <t>This study explores the ability of GPT-4 working together with humans to generate a codebook to analyze scientific observations from middle school learners in the What-if Hypothetical Implementations in Minecraft (WHIMC) project. It compares this Hybrid c</t>
  </si>
  <si>
    <t>10.1007/978-3-032-12229-2_13</t>
  </si>
  <si>
    <t>https://www.scopus.com/pages/publications/105024379228?origin=resultslist</t>
  </si>
  <si>
    <t>Automated Codebook Development; Codebook Comparison; Epistemic Network Analysis; GPT; Large Language Models</t>
  </si>
  <si>
    <t>Game design; Human computer interaction; Students; Automated codebook development; Codebook comparison; Codebooks; Educational game; Epistemic network analyze; GPT; Language model; Large language model; Scientific observations; Codes (symbols)</t>
  </si>
  <si>
    <t>A Curriculum-Grounded AI Tutoring System</t>
  </si>
  <si>
    <t>Durovic, Sara and Kovacevic, Sara and Lasica, Marko and Uskokovic, Boban and Softic, Adna and Dzuho, Amra and Badnjevic, Almir</t>
  </si>
  <si>
    <t>2026 30th International Conference on Information Technology, IT 2026</t>
  </si>
  <si>
    <t>This paper presents TutorMe, an AI-assisted elearning chatbot platform designed to support students with lesson explanations, question answering, quiz generation, and learning-material navigation using curriculum-aligned, digitized resources. TutorMe is i</t>
  </si>
  <si>
    <t>10.1109/IT67293.2026.11435715</t>
  </si>
  <si>
    <t>https://www.scopus.com/pages/publications/105036000148?origin=resultslist</t>
  </si>
  <si>
    <t>artificial intelligence; e-learning; large language model (LLM); natural language processing (NLP); personalized learning</t>
  </si>
  <si>
    <t>Computer aided instruction; Curricula; Education computing; Engineering education; Information retrieval; Knowledge based systems; Learning algorithms; Learning systems; Natural language processing systems; Teaching; Chatbots; E - learning; Language model</t>
  </si>
  <si>
    <t>Rethinking assessment strategies to improve authentic representations of learning: using blogs as a creative assessment alternative to develop professional skills</t>
  </si>
  <si>
    <t>O’Rourke, Mark and Doyon, Andreanne</t>
  </si>
  <si>
    <t>This research explores using blogs as an innovative assessment tool to enhance authentic learning and professional skill development in students. Unlike traditional methods, blogs foster active knowledge building and peer interaction, making learning more</t>
  </si>
  <si>
    <t>10.1186/s41239-024-00483-0</t>
  </si>
  <si>
    <t>https://www.scopus.com/pages/publications/85200979636?origin=resultslist</t>
  </si>
  <si>
    <t>Alternative assessment; Authentic assessment; Blogs; Peer review; Professional learning</t>
  </si>
  <si>
    <t>From automation to augmentation: a human-centered framework for generative AI in adaptive educational content creation</t>
  </si>
  <si>
    <t>Kolhatin, Andrii O.</t>
  </si>
  <si>
    <t>143 - 195</t>
  </si>
  <si>
    <t>4060</t>
  </si>
  <si>
    <t>This paper examines the transformative potential and critical challenges of integrating generative artificial intelligence into adaptive educational systems, advancing a human-centered framework that prioritizes augmentation over automation. Through analy</t>
  </si>
  <si>
    <t>https://www.scopus.com/pages/publications/105019297347?origin=resultslist</t>
  </si>
  <si>
    <t>adaptive learning systems; AI ethics in education; assessment innovation; augmentation paradigm; cognitive development; educational equity; educational governance; educational technology; educational transformation; federated learning; generative artifici</t>
  </si>
  <si>
    <t>Artificial intelligence; Automation; Cognitive systems; Computer aided instruction; E-learning; Engineering education; Federated learning; Integration; Knowledge management; Learning algorithms; Learning systems; Teaching; Technology transfer; Adaptive le</t>
  </si>
  <si>
    <t>Cited by: 9</t>
  </si>
  <si>
    <t>Research on the Instructional Practice of AIGC-Enabled Junior High School English Vocabulary Review: A Random Forest-Supported Text-to-Song-MV Approach with Engineering Integration</t>
  </si>
  <si>
    <t>Qiu, Ziyan and Luo, Peiying and Li, Yueying and Chen, Bao</t>
  </si>
  <si>
    <t>Proceedings of 2025 2nd International Conference on Artificial Intelligence and Future Education, AIFE 2025</t>
  </si>
  <si>
    <t>573 - 579</t>
  </si>
  <si>
    <t>Traditional vocabulary teaching in junior high school English often suffers from superficial review, low interactivity, and limited long-term retention. The emergence of Artificial Intelligence Generated Content (AIGC) and machine learning technologies of</t>
  </si>
  <si>
    <t>10.1145/3785987.3786084</t>
  </si>
  <si>
    <t>https://www.scopus.com/pages/publications/105029753206?origin=resultslist</t>
  </si>
  <si>
    <t>AIGC; Junior High School English; Random Forest; Text-to-Song-MV Instruction; Vocabulary Review</t>
  </si>
  <si>
    <t>Artificial intelligence; Design of experiments; Engineering education; Learning systems; Random forests; Students; Teaching; Vocabulary control; Artificial intelligence generated content; Control groups; Experimental groups; Junior high school english; Ju</t>
  </si>
  <si>
    <t>Intelligent Student Activity and Performance Monitoring System for Online Education</t>
  </si>
  <si>
    <t>Nama, Siddharth and Raj, Mukul and Singh, Om Prakash and Biswas, Ujjwal</t>
  </si>
  <si>
    <t>Proceedings - 2025 IEEE 3rd International Symposium on Sustainable Energy, Signal Processing and Cybersecurity, iSSSC 2025</t>
  </si>
  <si>
    <t>As online education grows, new challenges emerge in understanding and improving student engagement. Traditional methods, such as attendance or task completion, fail to provide detailed, real time insights, especially in virtual classrooms where teachers c</t>
  </si>
  <si>
    <t>10.1109/iSSSC66652.2025.11388775</t>
  </si>
  <si>
    <t>https://www.scopus.com/pages/publications/105034994116?origin=resultslist</t>
  </si>
  <si>
    <t>AI Categorization; Artificial Intelligence; Digital Classroom Monitoring; Machine Learning; Real Time Insights; Student Engagement; Time Tracking</t>
  </si>
  <si>
    <t>Computer aided instruction; E-learning; Education computing; Learning systems; Middleware; Students; Teaching; Virtual reality; Activity monitoring system; Artificial intelligence categorization; Digital classroom; Digital classroom monitoring; Machine-le</t>
  </si>
  <si>
    <t>Research on the English Teaching Evaluation Algorithm Based on Data Mining Technology</t>
  </si>
  <si>
    <t>Zhang, Si</t>
  </si>
  <si>
    <t>Proceedings of 2025 4th International Conference on Artificial Intelligence and Education, ICAIE 2025</t>
  </si>
  <si>
    <t>1534 - 1543</t>
  </si>
  <si>
    <t>With the rapid development of educational informatization and intelligent technology, traditional English teaching evaluation systems remain subjective and inefficient, limiting objective assessment of teaching quality and learning outcomes. To overcome t</t>
  </si>
  <si>
    <t>10.1145/3797552.3797796</t>
  </si>
  <si>
    <t>https://www.scopus.com/pages/publications/105038369451?origin=resultslist</t>
  </si>
  <si>
    <t>Algorithm Model; Data Mining; English Teaching; Indicator System; Teaching Evaluation</t>
  </si>
  <si>
    <t>Data accuracy; E-learning; Quality control; Teaching; Algorithm model; Data mining technology; English teaching; Evaluation algorithm; Indicators systems; Informatization; Intelligent technology; Objective assessment; Teaching evaluation; Teaching quality</t>
  </si>
  <si>
    <t>Artificial intelligence in education research during 2013–2023: A review based on bibliometric analysis</t>
  </si>
  <si>
    <t>Guo, Shuchen and Zheng, Yuanyuan and Zhai, Xiaoming</t>
  </si>
  <si>
    <t>Education and Information Technologies</t>
  </si>
  <si>
    <t>16387--16409</t>
  </si>
  <si>
    <t>10.1007/s10639-024-12491-8</t>
  </si>
  <si>
    <t>https://doi.org/10.1007/s10639-024-12491-8</t>
  </si>
  <si>
    <t>Editorial for EAIT issue 11, 2023</t>
  </si>
  <si>
    <t>Tatnall, Arthur</t>
  </si>
  <si>
    <t>13871--13883</t>
  </si>
  <si>
    <t>10.1007/s10639-023-12299-y</t>
  </si>
  <si>
    <t>https://doi.org/10.1007/s10639-023-12299-y</t>
  </si>
  <si>
    <t>Efficient hyperparameter tuning for predicting student performance with Bayesian optimization</t>
  </si>
  <si>
    <t>Albahli, Saleh</t>
  </si>
  <si>
    <t>Multimedia Tools and Applications</t>
  </si>
  <si>
    <t>52711--52735</t>
  </si>
  <si>
    <t>83</t>
  </si>
  <si>
    <t>10.1007/s11042-023-17525-w</t>
  </si>
  <si>
    <t>https://doi.org/10.1007/s11042-023-17525-w</t>
  </si>
  <si>
    <t>Teaching innovation mechanism of higher education driven by AI fusion data</t>
  </si>
  <si>
    <t>Chen, Zhen and Qin, Shirong and Han, Hui and Peng, Wei and Liang, Hua</t>
  </si>
  <si>
    <t>160</t>
  </si>
  <si>
    <t>10.1007/s10791-026-10036-w</t>
  </si>
  <si>
    <t>https://doi.org/10.1007/s10791-026-10036-w</t>
  </si>
  <si>
    <t>Student Grade Prediction Using Machine Learning in Iot Era</t>
  </si>
  <si>
    <t>Hussain, Adedoyin A.and Dimililer, Kamil</t>
  </si>
  <si>
    <t>65--81</t>
  </si>
  <si>
    <t>The work proposed in this paper is the application of machine learning techniques in recognizing patterns and predicting student success rate on the bases of their performance on their previous grades in this IoT era. With this, using machine learning alg</t>
  </si>
  <si>
    <t>Research on intelligent recommendation of teaching resources and adaptive control of learning progress based on Q-learning</t>
  </si>
  <si>
    <t>Zhao, Juan</t>
  </si>
  <si>
    <t>14138</t>
  </si>
  <si>
    <t>As educational informatization continues to advance, traditional methods of delivering teaching resources and adjusting pacing can no longer meet students' personalized learning needs, especially when faced with students' varying learning paces and levels</t>
  </si>
  <si>
    <t>10.1117/12.3108643</t>
  </si>
  <si>
    <t>https://www.scopus.com/pages/publications/105040839371?origin=resultslist</t>
  </si>
  <si>
    <t>intelligent education; personalized learning; Q-learning; teaching progress control; teaching resource delivery</t>
  </si>
  <si>
    <t>Adaptive control systems; Education computing; Feedback; Learning algorithms; Learning systems; Machine learning; Teaching; Intelligent educations; Learning progress; Personalized learning; Progress control; Q-learning; Resource control; Student learning;</t>
  </si>
  <si>
    <t>437 - 449</t>
  </si>
  <si>
    <t>1463 LNNS</t>
  </si>
  <si>
    <t xml:space="preserve">Higher education institutions’ reputation, financing, and student achievement are all impacted by student retention, which has grown to be a major problem. In order to properly identify at-risk students, traditional methods to retention issues frequently </t>
  </si>
  <si>
    <t>10.1007/978-981-96-7514-2_35</t>
  </si>
  <si>
    <t>https://www.scopus.com/pages/publications/105020254885?origin=resultslist</t>
  </si>
  <si>
    <t>Academic performance; Behavioral data; Decision-making; Educational data mining; Explainable AI (XAI)</t>
  </si>
  <si>
    <t>Behavioral research; Data mining; Education computing; Finance; Information use; Learning systems; Machine learning; Predictive analytics; Students; Academic performance; Behavioral data; Decisions makings; Educational data mining; Explainable AI (XAI); H</t>
  </si>
  <si>
    <t>As the field of machine learning continues to grow, the significance of machine learning in educational data mining which is promising in terms of contemporary pedagogies and the future of recommendations that will be networked to the needs of students gr</t>
  </si>
  <si>
    <t>Machine learning;Machining;Modeling;Printing;Learning (artificial intelligence);Algorithms;Data mining;Machine learning algorithms;Learning systems;Social networking (online);Machine Learning;Educational Data Mining;Personalized Learning;Adaptive Learning</t>
  </si>
  <si>
    <t>Civit, Miguel and Escalona, María José and Cuadrado, Francisco and Reyes-de-Cozar, Salvador</t>
  </si>
  <si>
    <t>Expert Systems</t>
  </si>
  <si>
    <t>Background: Active Learning with AI-tutoring in Higher Education tackles dropout rates. Objectives: To investigate teaching-learning methodologies preferred by students. AHP is used to evaluate a ChatGPT-based studented learning methodology which is compa</t>
  </si>
  <si>
    <t>https://www.scopus.com/pages/publications/85201723482?origin=resultslist</t>
  </si>
  <si>
    <t>cooperative/collaborative learning; data science applications in education; post-secondary education; teaching/learning strategies</t>
  </si>
  <si>
    <t>Active learning; Adversarial machine learning; Collaborative learning; Expert systems; Federated learning; Active Learning; Application in education; Comparatives studies; Cooperative/ collaborative learning; Data science application in education; High ed</t>
  </si>
  <si>
    <t>02664720</t>
  </si>
  <si>
    <t>Cited by: 12; All Open Access; Green Open Access; Hybrid Gold Open Access</t>
  </si>
  <si>
    <t>Navigating the Sky Together: Investigating Collaboration Dynamics through Annotation in an Immersive Learning Environment</t>
  </si>
  <si>
    <t>Zhou, Yiqiu and Wang, Philo and Kang, Jina</t>
  </si>
  <si>
    <t>707 - 713</t>
  </si>
  <si>
    <t>This study investigates the dynamics of group interactions within an immersive collaborative astronomy learning environment, focusing on the role of individual contributions and their impact on group dynamics. Through a multilevel analytical framework, we</t>
  </si>
  <si>
    <t>10.5281/zenodo.12729924</t>
  </si>
  <si>
    <t>https://www.scopus.com/pages/publications/105023292747?origin=resultslist</t>
  </si>
  <si>
    <t>Collaboration Dynamics; Computer-based Collaborative Learning; Immersive Environment; Time Series Analysis</t>
  </si>
  <si>
    <t>Exploring The Potential Of Virtual Reality For R Programming Education</t>
  </si>
  <si>
    <t>Saleh, Abdulrazak Yahya and Peng, Soo Siew</t>
  </si>
  <si>
    <t>2025 5th International Conference on Emerging Smart Technologies and Applications, eSmarTA 2025</t>
  </si>
  <si>
    <t>This study develops and evaluates a novel Virtual Reality (VR) system for teaching fundamental R programming skills to university students, addressing common learning challenges. Grounded in Experiential Learning Theory and constructivism, our system aims</t>
  </si>
  <si>
    <t>10.1109/eSmarTA66764.2025.11132216</t>
  </si>
  <si>
    <t>https://www.scopus.com/pages/publications/105016222130?origin=resultslist</t>
  </si>
  <si>
    <t>education; immersive; programming learning; R coding; Virtual reality</t>
  </si>
  <si>
    <t>E-learning; Education computing; Knowledge management; Learning systems; Students; Experiential learning theories; Immersive; Immersive environment; Programming education; Programming learning; Programming skills; R coding; R programming; University stude</t>
  </si>
  <si>
    <t>Impact of anxiety and confidence in virtual reality-mediated learning transferred to hands-on tasks</t>
  </si>
  <si>
    <t>Wang, Wei-Sheng and Cheng, Yu-Ping and Lee, Hsin-Yu and Lin, Chia-Ju and Huang, Yueh-Min</t>
  </si>
  <si>
    <t>1368 - 1381</t>
  </si>
  <si>
    <t>39</t>
  </si>
  <si>
    <t>Background: Benefited from advances in technology, virtual reality (VR) has been widely applied to learning content in operational training as well as hands-on courses. However, most current studies tend to evaluate learning effectiveness in this applicat</t>
  </si>
  <si>
    <t>10.1111/jcal.12805</t>
  </si>
  <si>
    <t>https://www.scopus.com/pages/publications/85150844892?origin=resultslist</t>
  </si>
  <si>
    <t>hands-on learning; learning anxiety; learning confidence; learning materials; virtual reality</t>
  </si>
  <si>
    <t>Cited by: 22</t>
  </si>
  <si>
    <t>Generative Artificial Intelligence as a Catalyst for Change in Higher Education Art Study Programs</t>
  </si>
  <si>
    <t>Ansone, Anna and Zālīte-Supe, Zinta and Daniela, Linda</t>
  </si>
  <si>
    <t>Computers</t>
  </si>
  <si>
    <t>Generative Artificial Intelligence (AI) has emerged as a transformative tool in art education, offering innovative avenues for creativity and learning. However, concerns persist among educators regarding the potential misuse of text-to-image generators as</t>
  </si>
  <si>
    <t>10.3390/computers14040154</t>
  </si>
  <si>
    <t>https://www.scopus.com/pages/publications/105003440181?origin=resultslist</t>
  </si>
  <si>
    <t>AI integration; art education; DALL-E; generative AI; higher education; image generation</t>
  </si>
  <si>
    <t>Contrastive Learning; Students; Art educations; Artificial intelligence integration; Artificial intelligence tools; DALL-E; Generative artificial intelligence; High educations; Image generations; Image generators; Intelligence integration; ]+ catalyst; Ge</t>
  </si>
  <si>
    <t>2073431X</t>
  </si>
  <si>
    <t>Cited by: 21; All Open Access; Gold Open Access; Green Open Access</t>
  </si>
  <si>
    <t>Emotional Resilience of Students in the Context of Distance Learning</t>
  </si>
  <si>
    <t>Shabunina, Anastasiya and Shakhova, Valentina and Sorokina, Lilia</t>
  </si>
  <si>
    <t>345 - 354</t>
  </si>
  <si>
    <t xml:space="preserve">The emergency switch to a distance learning format became a challenge for the educational system, updated and formed the situation of scientific and pedagogical search for optimal psychological and pedagogical measures aimed at preserving the educational </t>
  </si>
  <si>
    <t>10.1145/3481056.3481090</t>
  </si>
  <si>
    <t>https://www.scopus.com/pages/publications/85117921314?origin=resultslist</t>
  </si>
  <si>
    <t>academic performance; adaptation; distance learning; emergency remote learning; Keywords - emotional resilience; motivation</t>
  </si>
  <si>
    <t>Curricula; E-learning; Learning systems; Stabilization; Teaching; Academic performance; Adaptation; Condition; Distance-learning; Educational environment; Emergency remote learning; Emotional stabilities; Keyword - emotional resilience; Online course; Rem</t>
  </si>
  <si>
    <t>Group formation based on extraversion and prior knowledge: a randomized controlled study in higher education online</t>
  </si>
  <si>
    <t>Mueller, Adrienne and Konert, Johannes and Röpke, René and Genc, Ömer and Bellhäuser, Henrik</t>
  </si>
  <si>
    <t>Journal of Computing in Higher Education</t>
  </si>
  <si>
    <t>780 - 808</t>
  </si>
  <si>
    <t>The study investigates how the 2×2 configuration of homogeneous and heterogeneous distributions of extraversion and prior knowledge influences group outcomes, including satisfaction, performance, and stability. Based on the standard deviation of extravers</t>
  </si>
  <si>
    <t>10.1007/s12528-024-09406-4</t>
  </si>
  <si>
    <t>https://www.scopus.com/pages/publications/85201825627?origin=resultslist</t>
  </si>
  <si>
    <t>Cognitive diversity; Group formation; Learning in groups; Personality traits; Trait-ability-link</t>
  </si>
  <si>
    <t>10421726</t>
  </si>
  <si>
    <t>Cited by: 8; All Open Access; Hybrid Gold Open Access</t>
  </si>
  <si>
    <t>Employing Gamification Teaching Method to Enhance Adult Undergraduates' Academic Achievement in a Chinese Literature Course: A Data Analysis Based on SPSS</t>
  </si>
  <si>
    <t>Zhao, Xuemin and Keong, Tan Choon</t>
  </si>
  <si>
    <t>Proceedings - 2nd International Conference on Informatics Education and Computer Technology Applications, IECA 2025</t>
  </si>
  <si>
    <t>The aim of this study is to explore the effects of gamification teaching methods on adult undergraduates' academic achievement in a Chinese Literature course. It integrates four poetry game mobile apps, Poetry Challenge, K Poetry for All, Poetry Match, an</t>
  </si>
  <si>
    <t>10.1109/IECA66054.2025.00015</t>
  </si>
  <si>
    <t>https://www.scopus.com/pages/publications/105013071432?origin=resultslist</t>
  </si>
  <si>
    <t>Academic Achievement; Adult Undergraduates; Chinese Literature Course; Educational technology; Gamification Teaching Method</t>
  </si>
  <si>
    <t>Curricula; Data reduction; Engineering education; Gamification; Students; Teaching; Academic achievements; Adult undergraduate; Chinese literature; Chinese literature course; Control groups; Experimental groups; Gamification; Gamification teaching method;</t>
  </si>
  <si>
    <t>Example, nudge, or practice? Assessing metacognitive knowledge transfer of factual and procedural learners</t>
  </si>
  <si>
    <t>Abdelshiheed, Mark and Moulder, Robert and Hostetter, John Wesley and Barnes, Tiffany and Chi, Min</t>
  </si>
  <si>
    <t>User Modeling and User-Adapted Interaction</t>
  </si>
  <si>
    <t>1745 - 1775</t>
  </si>
  <si>
    <t>Factual knowledge and procedural knowledge are knowing ‘That’ and ‘How,’ respectively, whereas conditional knowledge is the metacognitive knowledge of ‘When’ and ‘Why.’ As prior work has found that students with conditional knowledge spontaneously transfe</t>
  </si>
  <si>
    <t>10.1007/s11257-024-09404-2</t>
  </si>
  <si>
    <t>https://www.scopus.com/pages/publications/85197465965?origin=resultslist</t>
  </si>
  <si>
    <t>Conditional knowledge; Factual knowledge; Knowledge transfer; Metacognitive knowledge; Procedural knowledge</t>
  </si>
  <si>
    <t>Computer aided instruction; Computer circuits; Education computing; Knowledge management; Backward chaining; Conditional knowledge; Factual knowledge; Intelligent tutoring; Knowledge transfer; Knowledge types; Metacognitive knowledge; Metacognitives; Proc</t>
  </si>
  <si>
    <t>09241868</t>
  </si>
  <si>
    <t>Student Retention and Persistence in University Certificate-First Programs</t>
  </si>
  <si>
    <t>Martin, Troy and Davies, Randall</t>
  </si>
  <si>
    <t>While access to higher education has grown over the past few years, significant barriers exist for nontraditional students attempting to prepare for and complete postsecondary education. For these students, the traditional methods for acknowledging studen</t>
  </si>
  <si>
    <t>10.3390/educsci12080525</t>
  </si>
  <si>
    <t>https://www.scopus.com/pages/publications/85136892916?origin=resultslist</t>
  </si>
  <si>
    <t>certificate first initiatives; higher education; nontraditional students; retention and persistence rates; university matriculation</t>
  </si>
  <si>
    <t>Transmedia Content and Gamification in Educational Programmes for University Students with Disabilities: Digital Competences for Labour Market Integration as a Driver of Sustainable Development</t>
  </si>
  <si>
    <t>Pérez-Manzano, Antonio and Almela-Baeza, Javier and Bonache-Ibáñez, Adrián</t>
  </si>
  <si>
    <t>Soft skills play a fundamental role in transversal competences in the field of training and employment, especially in university collectives with disabilities. Traditional methodologies are giving way to gamified and transmedia environments, which are mor</t>
  </si>
  <si>
    <t>10.3390/su17177947</t>
  </si>
  <si>
    <t>https://www.scopus.com/pages/publications/105016237510?origin=resultslist</t>
  </si>
  <si>
    <t>digital technology; e-learning; education; gamification; global citizenship; serious game; transmedia</t>
  </si>
  <si>
    <t>appropriate technology; citizenship; digitization; disability; education; labor market; machine learning; research program; student; sustainable development</t>
  </si>
  <si>
    <t>Artificial Intelligence in Education: Mathematics Teachers’ Perspectives, Practices and Challenges</t>
  </si>
  <si>
    <t>Wardat, Yousef and Tashtoush, Mohammad A. and AlAli, Rommel and Saleh, Shoeb</t>
  </si>
  <si>
    <t>Iraqi Journal for Computer Science and Mathematics</t>
  </si>
  <si>
    <t>60 - 77</t>
  </si>
  <si>
    <t xml:space="preserve">Efforts have been made to include artificial intelligence (AI) in teaching and learning; nevertheless, the successful deployment of new instructional technology depends on the attitudes of the teachers who conduct the lesson. Few scholars have researched </t>
  </si>
  <si>
    <t>10.52866/ijcsm.2024.05.01.004</t>
  </si>
  <si>
    <t>https://www.scopus.com/pages/publications/85180991973?origin=resultslist</t>
  </si>
  <si>
    <t>Adaptive Learning System; Artificial Intelligence; Elementary Students; Mathematics Achievement; Robotics</t>
  </si>
  <si>
    <t>Learning systems; Robotics; Students; Abu Dhabi; Adaptive learning systems; Artificial intelligence in education; Artificial intelligence systems; Elementary students; Math teachers; Mathematic achievement; Mathematics teacher; Statistically significant d</t>
  </si>
  <si>
    <t>College of Education, Al-Iraqia University</t>
  </si>
  <si>
    <t>27887421</t>
  </si>
  <si>
    <t>Cited by: 114; All Open Access; Gold Open Access; Green Open Access</t>
  </si>
  <si>
    <t>Beyond Code: Leveraging ChatGPT to Enhance (Not Replace) Traditional Programming Education</t>
  </si>
  <si>
    <t>Adeniran, Adetunji and Alhathli, Manal</t>
  </si>
  <si>
    <t>53 - 59</t>
  </si>
  <si>
    <t>15881 LNAI</t>
  </si>
  <si>
    <t>The rise of OpenAI tools like ChatGPT has sparked debate in programming education, balancing benefits for learning against concerns over reduced critical thinking and reliance on traditional methods. This study explores ChatGPT’s impact on student learnin</t>
  </si>
  <si>
    <t>10.1007/978-3-031-98462-4_7</t>
  </si>
  <si>
    <t>https://www.scopus.com/pages/publications/105012035727?origin=resultslist</t>
  </si>
  <si>
    <t>ChatGPT; OpenAI; Programming Education; Student Learning</t>
  </si>
  <si>
    <t>Curricula; Education computing; ChatGPT; Critical thinking; Openai; Programming course; Programming education; Student feedback; Student learning; Students</t>
  </si>
  <si>
    <t>Design and Practice Research of Digital Enrollment Management System</t>
  </si>
  <si>
    <t>Liu, Ting and Sun, Long-Qing and Ren, Ran and Wu, Yu-Han and Kang, Yao and Wu, Shu-Ping</t>
  </si>
  <si>
    <t>176–182</t>
  </si>
  <si>
    <t>In contrast to traditional universities, where student data is typically sourced from entrance examination records, the open education system relies on independent registrations during specific enrollment periods to collect student information. Consequent</t>
  </si>
  <si>
    <t>10.1145/3696230.3696246</t>
  </si>
  <si>
    <t>https://doi.org/10.1145/3696230.3696246</t>
  </si>
  <si>
    <t>Data Security, Education Digital Technology, Enrollment Management System, Open Education</t>
  </si>
  <si>
    <t>FDBSCAN: A Dynamic Fairness Optimization Approach for Density-Based Clustering</t>
  </si>
  <si>
    <t>Zheng, Junjie and Yang, Zhijing and Li, Yuxin and Zhang, Hui</t>
  </si>
  <si>
    <t>350 - 361</t>
  </si>
  <si>
    <t>2568 CCIS</t>
  </si>
  <si>
    <t>Clustering algorithms are essential tools in data mining, applied across various domains. Among them, DBSCAN has gained significant popularity due to its ability to identify clusters of arbitrary shapes without requiring the number of clusters to be speci</t>
  </si>
  <si>
    <t>10.1007/978-981-96-9955-1_29</t>
  </si>
  <si>
    <t>https://www.scopus.com/pages/publications/105013049037?origin=resultslist</t>
  </si>
  <si>
    <t>Clustering; DBSCAN; Fair Clustering; FDBSCAN</t>
  </si>
  <si>
    <t>Cluster analysis; Data mining; Optimization; Arbitrary shape; Clusterings; DBSCAN; DBSCAN algorithm; Density-based Clustering; Fair clustering; FairDBSCAN; Number of clusters; Optimization approach; Clustering algorithms</t>
  </si>
  <si>
    <t>Innovations in Education: A Deep Dive into the Application of Artificial Intelligence in Higher Learning</t>
  </si>
  <si>
    <t>Nugraheni, Anjar Sri Ciptorukmi and Widono, Salim and Saddhono, Kundharu and Yamtinah, Sri and Nurhasanah, Farida and Murwaningsih, Tri</t>
  </si>
  <si>
    <t>785 - 789</t>
  </si>
  <si>
    <t>The landscape of education is fast-changing, fueled by technological developments that are promising to tear down traditional methodologies of learning. Among these promising to be transformational forces with huge potential in improving higher learning e</t>
  </si>
  <si>
    <t>10.1109/ICACITE60783.2024.10616739</t>
  </si>
  <si>
    <t>https://www.scopus.com/pages/publications/85201798050?origin=resultslist</t>
  </si>
  <si>
    <t>adaptive learning systems; Artificial Intelligence; data analytics; ethical considerations; higher education; intelligent tutoring systems; personalized learning; predictive modeling; qualitative interviews; quantitative surveys</t>
  </si>
  <si>
    <t>Adversarial machine learning; Federated learning; Self-supervised learning; Adaptive learning systems; Data analytics; Ethical considerations; High educations; Intelligent tutoring; Intelligent tutoring system; Personalized learning; Predictive models; Qu</t>
  </si>
  <si>
    <t>A deep learning-based course recommender system for sustainable development in education</t>
  </si>
  <si>
    <t>Li, Qinglong and Kim, Jaekyeong</t>
  </si>
  <si>
    <t>Recently, the worldwide COVID-19 pandemic has led to an increasing demand for online education platforms. However, it is challenging to correctly choose course content from among many online education resources due to the differences in users’ knowledge s</t>
  </si>
  <si>
    <t>10.3390/app11198993</t>
  </si>
  <si>
    <t>https://www.scopus.com/pages/publications/85115913950?origin=resultslist</t>
  </si>
  <si>
    <t>Course recommender system; Deep learning; Online education; Personalized service</t>
  </si>
  <si>
    <t>Cited by: 64; All Open Access; Gold Open Access; Green Open Access</t>
  </si>
  <si>
    <t>Interactive visualization of thermodynamic concepts through augmented reality to improve critical thinking</t>
  </si>
  <si>
    <t>Haryadi, Rudi and Pujiastuti, Heni and Utomo, Dhafid Wahyu</t>
  </si>
  <si>
    <t>Computers and Education: X Reality</t>
  </si>
  <si>
    <t>Understanding thermodynamics concepts remains a major challenge in physics education due to their high level of abstraction and dependence on symbolic representation. Traditional instruction often fails to provide students with perceptual experiences that</t>
  </si>
  <si>
    <t>10.1016/j.cexr.2026.100137</t>
  </si>
  <si>
    <t>https://www.scopus.com/pages/publications/105029035154?origin=resultslist</t>
  </si>
  <si>
    <t>Augmented reality; Critical thinking; Interactive visualization; Science education; Thermodynamics</t>
  </si>
  <si>
    <t>29496780</t>
  </si>
  <si>
    <t>VizGroup: An AI-assisted Event-driven System for Collaborative Programming Learning Analytics</t>
  </si>
  <si>
    <t>Tang, Xiaohang and Wong, Sam and Pu, Kevin and Chen, Xi and Yang, Yalong and Chen, Yan</t>
  </si>
  <si>
    <t>UIST 2024 - Proceedings of the 37th Annual ACM Symposium on User Interface Software and Technology</t>
  </si>
  <si>
    <t>Programming instructors often conduct collaborative learning activities, like Peer Instruction, to foster a deeper understanding in students and enhance their engagement with learning. These activities, however, may not always yield productive outcomes du</t>
  </si>
  <si>
    <t>10.1145/3654777.3676347</t>
  </si>
  <si>
    <t>https://www.scopus.com/pages/publications/85215074078?origin=resultslist</t>
  </si>
  <si>
    <t>Collaborative Learning; Programming Education</t>
  </si>
  <si>
    <t>Active learning; Adversarial machine learning; Contrastive Learning; Federated learning; Students; Collaborative learning; Collaborative learning activities; Collaborative programming; Event-driven system; Learning behavior; Mental model; Peer instruction</t>
  </si>
  <si>
    <t>Cited by: 11; All Open Access; Green Open Access</t>
  </si>
  <si>
    <t>Anuradha, Ch. and Sai, Bhrugumalla Eswar Sri and Chakradhar, Karakatla and Jaichand, Yellamali</t>
  </si>
  <si>
    <t>13th International Conference on Intelligent Embedded, MicroElectronics, Communication and Optical Networks, IEMECON 2025</t>
  </si>
  <si>
    <t>10.1109/IEMECON69302.2025.11365811</t>
  </si>
  <si>
    <t>https://www.scopus.com/pages/publications/105035591814?origin=resultslist</t>
  </si>
  <si>
    <t>AN ALGORITHM BASED ON SENTIMENT ANALYSIS AND FUZZY LOGIC FOR OPINIONS MINING</t>
  </si>
  <si>
    <t>Khairy, Ghada and Saad, Abeer M. and Alkhalaf, Salem and Amasha, Mohamed A.</t>
  </si>
  <si>
    <t>3497 - 3506</t>
  </si>
  <si>
    <t>100</t>
  </si>
  <si>
    <t>The collection and analysis of comments is an important topic, as traditional methods are based on analyzing and collecting students’ feedback through a questionnaire. This paper aims to extract knowledge to support students’ learning processes by underst</t>
  </si>
  <si>
    <t>https://www.scopus.com/pages/publications/85133520804?origin=resultslist</t>
  </si>
  <si>
    <t>Algorithm; Fuzzy Logic; Gamification; Sentiment Analysis; Student Feedback Analysis</t>
  </si>
  <si>
    <t>Developing a Multimodal Learning Analytics Approach to Examine Students' Cognitive Presence and Metacognition in a Metaverse Environment</t>
  </si>
  <si>
    <t>Song, Yanjie and Tao, Lei and Deng, Hao and Fu, Jiachen</t>
  </si>
  <si>
    <t>PartF3</t>
  </si>
  <si>
    <t>The rise of the metaverse as an educational platform has introduced new opportunities and challenges in understanding students' cognitive processes. Traditional learning analytics methods often fail to fully capture the dynamic patterns of cognitive prese</t>
  </si>
  <si>
    <t>10.58459/icce.2024.4965</t>
  </si>
  <si>
    <t>https://www.scopus.com/pages/publications/105046499429?origin=resultslist</t>
  </si>
  <si>
    <t>AI-powered digital human; cognitive presence; metacognition; Metaverse; multimodal learning analytics</t>
  </si>
  <si>
    <t>Cited by: 2; All Open Access; Bronze Open Access</t>
  </si>
  <si>
    <t>Personalization of Learning Resources for STEM Education</t>
  </si>
  <si>
    <t>Terzieva, Valentina and Paunova-Hubenova, Elena and Bontchev, Boyan</t>
  </si>
  <si>
    <t>222 - 233</t>
  </si>
  <si>
    <t>1799 LNNS</t>
  </si>
  <si>
    <t>Contemporary schools replace stepwise classical teaching methods with interdisciplinary approaches to STEM (Science, Technology, Engineering, and Mathematics) education. The essential skills and knowledge required for a successful career in the present ce</t>
  </si>
  <si>
    <t>10.1007/978-3-032-15743-0_19</t>
  </si>
  <si>
    <t>https://www.scopus.com/pages/publications/105029752654?origin=resultslist</t>
  </si>
  <si>
    <t>Educational games; Learning resources; Personalization; STEM</t>
  </si>
  <si>
    <t>Artificial intelligence; Engineering education; Learning systems; Professional aspects; Students; Teaching; Educational game; Engineering and mathematics; Learning resource; Mathematics education; Personalizations; Science education; Science technologies;</t>
  </si>
  <si>
    <t>Social network development in classrooms</t>
  </si>
  <si>
    <t>Wolf, Steven F. and Sault, Timothy M. and Suda, Tyme and Traxler, Adrienne L.</t>
  </si>
  <si>
    <t>Applied Network Science</t>
  </si>
  <si>
    <t>Group work is often a critical component of how we ask students to interact while learning in active and interactive environments. A common-sense extension of this feature is the inclusion of group assessments. Moreover, one of the key scientific practice</t>
  </si>
  <si>
    <t>10.1007/s41109-022-00465-z</t>
  </si>
  <si>
    <t>https://www.scopus.com/pages/publications/85129699744?origin=resultslist</t>
  </si>
  <si>
    <t>Network change; Social networks; Structural equivalence</t>
  </si>
  <si>
    <t>Economic and social effects; Active environments; Common sense; Critical component; Group assessment; Group work; Interactive Environments; Network change; Network's Development; Social network; Structural equivalence; Students</t>
  </si>
  <si>
    <t>23648228</t>
  </si>
  <si>
    <t>A Dual-Framework Approach for Improved Heart Disease Detection: CGAN-Based Data Augmentation and DAE Driven Feature Extraction</t>
  </si>
  <si>
    <t>Hanash, Saeb Wfi and Mohammad, Ahmad Saeed and Ibrahim, Sarmad K.</t>
  </si>
  <si>
    <t>Engineering, Technology and Applied Science Research</t>
  </si>
  <si>
    <t>30026 - 30033</t>
  </si>
  <si>
    <t>This study proposes two different frameworks that incorporate Deep Learning (DL) and Machine Learning (ML) for enhancing heart disease detection across Cleveland, Erbil, and Comprehensive datasets. The first framework integrated Conditional Generative Adv</t>
  </si>
  <si>
    <t>10.48084/etasr.14467</t>
  </si>
  <si>
    <t>https://www.scopus.com/pages/publications/105027137750?origin=resultslist</t>
  </si>
  <si>
    <t>CGAN; deep learning; denoising autoencoder; heart disease prediction; machine learning</t>
  </si>
  <si>
    <t>Dr D. Pylarinos</t>
  </si>
  <si>
    <t>22414487</t>
  </si>
  <si>
    <t>Evaluation of Teaching Quality in Higher Mathematics Courses based on Artificial Neural Networks</t>
  </si>
  <si>
    <t>Ge, Jiabao</t>
  </si>
  <si>
    <t>The evaluation of teaching quality in higher mathematics courses presents significant challenges due to subjective assessment methods, varying instructional techniques, and diverse student learning capabilities. Traditional evaluation approaches often rel</t>
  </si>
  <si>
    <t>10.1109/ICISCN64258.2025.10934235</t>
  </si>
  <si>
    <t>https://www.scopus.com/pages/publications/105002677973?origin=resultslist</t>
  </si>
  <si>
    <t>automated learning analysis; educational data processing; high accuracy; higher mathematics; intelligent assessment; neural networks; teaching quality evaluation</t>
  </si>
  <si>
    <t>Data accuracy; Automated learning; Automated learning analyze; Educational data processing; High mathematic; High-accuracy; Intelligent assessment; Neural-networks; Quality evaluation; Teaching quality; Teaching quality evaluation; Contrastive Learning</t>
  </si>
  <si>
    <t>LANSE-MIRA: Módulo de Intervenções para Retenção Acadêmica</t>
  </si>
  <si>
    <t>Vinicius Ramos and Cristian Cechinel and Rafael Targino and Tiago Primo and Eduardo Vila and Thomas Rodrigues and Edvaldo RandoJunior and Emanuel Queiroga</t>
  </si>
  <si>
    <t>54--62</t>
  </si>
  <si>
    <t>10.5753/wapla.2025.15927</t>
  </si>
  <si>
    <t>https://sol.sbc.org.br/index.php/wapla/article/view/39360</t>
  </si>
  <si>
    <t>AI-Driven Career Navigation System: Leveraging Adaptive Questioning and Satisfaction Feedback for Personalized Guidance</t>
  </si>
  <si>
    <t>Sasikala, T. and Raj, J. Joshua Daniel and Shetty, G Shreyas and Keerthan Poovaiah, M.M. and Srikara, K. and Sathwik</t>
  </si>
  <si>
    <t>Proceedings of 5th International Conference on Ubiquitous Computing and Intelligent Information Systems, ICUIS 2025</t>
  </si>
  <si>
    <t>251 - 256</t>
  </si>
  <si>
    <t>Many students find it difficult to choose a suitable career path as there is limited guidance and information about available options to choose as a career. To help solve this issue, this work introduces an AI-driven career navigation system designed to o</t>
  </si>
  <si>
    <t>10.1109/ICUIS67429.2025.11380613</t>
  </si>
  <si>
    <t>https://www.scopus.com/pages/publications/105034842757?origin=resultslist</t>
  </si>
  <si>
    <t>Adaptive Questioning; Artificial Intelligence (AI); Career Recommendation; Educational Technology; Google Gemini; LLM-based System; Personalized Guidance; Satisfaction Feedback; Streamlit</t>
  </si>
  <si>
    <t>Artificial intelligence; Electronic guidance systems; Employment; Engineering education; Feedback; Navigation; Students; Adaptive questioning; Artificial intelligence; Career paths; Career recommendation; Google geminus; Google+; LLM-based system; Persona</t>
  </si>
  <si>
    <t>Enhancing English Major Education Through Big Data-Driven Multi-Modal Teaching Strategies</t>
  </si>
  <si>
    <t>Zhou, Xuyang and Peng, Meng</t>
  </si>
  <si>
    <t>Journal of Cases on Information Technology</t>
  </si>
  <si>
    <t>English major education faces several challenges, including fragmented multimodal resources, limited real-time feedback, and insufficient data-driven decision support. This study presents a big data-driven multimodal teaching framework that integrates mul</t>
  </si>
  <si>
    <t>10.4018/JCIT.410067</t>
  </si>
  <si>
    <t>https://www.scopus.com/pages/publications/105039384485?origin=resultslist</t>
  </si>
  <si>
    <t>Big Data Technology; English Major Courses; Learning Analytics; Multimodal Teaching</t>
  </si>
  <si>
    <t>Curricula; Education computing; Engineering education; Feedback; Learning systems; Teaching; Big data technology; Data driven; Data driven decision; Data technologies; English major course; Learning analytic; Multi-modal; Multimodal teachings; Real-time f</t>
  </si>
  <si>
    <t>15487717</t>
  </si>
  <si>
    <t>Optimizing Curriculum Design for Professorship Education Using CAD and Neural Network Technologies</t>
  </si>
  <si>
    <t>Dai, Wenqiang and Liu, Qiongyao and Gao, Yuemin and Liu, Wenjing and Ouyang, Shaojuan</t>
  </si>
  <si>
    <t>International Journal of Web-Based Learning and Teaching Technologies</t>
  </si>
  <si>
    <t>The traditional curriculum design methods suffer from issues like outdated content and limited instructional approaches. To address these, this article proposes an optimized curriculum design system that integrates CAD and neural network models. This syst</t>
  </si>
  <si>
    <t>10.4018/IJWLTT.373426</t>
  </si>
  <si>
    <t>https://www.scopus.com/pages/publications/105004804261?origin=resultslist</t>
  </si>
  <si>
    <t>CAD; Learning Effect; Neural Network; Optimization of Curriculum Design; Professorship Education</t>
  </si>
  <si>
    <t>Design for manufacturability; Educational robots; Students; Teaching; Curricula design; Design method; Design systems; Learning effects; Network technologies; Neural network model; Neural-networks; Optimisations; Optimization of curriculum design; Profess</t>
  </si>
  <si>
    <t>15481093</t>
  </si>
  <si>
    <t>An Intelligent Career Guidance Framework Integrating Multiple Intelligences Theory and Ensemble Learning</t>
  </si>
  <si>
    <t>Raja, N V Muralikrishna and Prasad, Vijayagiri Leela and Reddy, Kolagotla Venkateswara and Senthil Kumar, A. and Polinati, Vinod Babu and Hota, C P Pavan Kumar</t>
  </si>
  <si>
    <t>ICKECS 2026 - Proceedings of 4th IEEE International Conference on Knowledge Engineering and Communication Systems</t>
  </si>
  <si>
    <t>Career selection is a significant problem for post-secondary education students, especially because of the inability to create data-driven and personalized career guidance systems. Traditional methods of counseling usually depend on personal opinion and d</t>
  </si>
  <si>
    <t>10.1109/ICKECS70176.2026.11527855</t>
  </si>
  <si>
    <t>https://www.scopus.com/pages/publications/105041854803?origin=resultslist</t>
  </si>
  <si>
    <t>Career Guidance; Gradient Boosting; KNN; Logistic Regression; Multiple Intelligence; XG Boost</t>
  </si>
  <si>
    <t>Adaptive boosting; Artificial intelligence; Computation theory; Education computing; Employment; Labeled data; Learning systems; Logistic regression; Professional aspects; Students; Career guidance; Ensemble learning; Gradient boosting; Guidance system; K</t>
  </si>
  <si>
    <t>A Deep Learning-Based Study on Quality Evaluation in Higher Continuing Education</t>
  </si>
  <si>
    <t>Yang, Hui</t>
  </si>
  <si>
    <t>69–73</t>
  </si>
  <si>
    <t>Quality evaluation is a critical component of higher continuing education, yet conventional approaches still depend heavily on subjective judgment and relatively coarse indicator systems, which makes it difficult to characterize the complexity of teaching</t>
  </si>
  <si>
    <t>10.1145/3806980.3806992</t>
  </si>
  <si>
    <t>https://doi.org/10.1145/3806980.3806992</t>
  </si>
  <si>
    <t>deep learning, educational data mining, higher continuing education, learning analytics, quality evaluation</t>
  </si>
  <si>
    <t>Collaborative Filtering Based Module Recommendation to Boost Learners Achievement</t>
  </si>
  <si>
    <t>Shabnam Ara, S.J. and Tanuja, R. and Manjula, S.H.</t>
  </si>
  <si>
    <t>2024 4th International Conference on Intelligent Technologies, CONIT 2024</t>
  </si>
  <si>
    <t xml:space="preserve">In today's world learners have access to a plethora of information in online learning platforms to hone their skills in different fields. Although a large number of choices may seem good, but it also leads to choice overload. Recommender systems (RS) can </t>
  </si>
  <si>
    <t>10.1109/CONIT61985.2024.10626755</t>
  </si>
  <si>
    <t>https://www.scopus.com/pages/publications/85202764506?origin=resultslist</t>
  </si>
  <si>
    <t>Adaptive learning systems; Collaborative filtering; Personalized learning pathways; Prescriptive analytics; Recommender system; Student achievement</t>
  </si>
  <si>
    <t>Adversarial machine learning; Collaborative filtering; Contrastive Learning; Federated learning; Self-supervised learning; Wiener filtering; Adaptive learning systems; Auto encoders; E - learning; Learning experiences; Learning pathway; Performance; Perso</t>
  </si>
  <si>
    <t>Learner-Centered Analysis in Educational Metaverse Environments: Exploring Value Exchange Systems through Natural Interaction and Text Mining</t>
  </si>
  <si>
    <t>Tsai, Yun-Cheng</t>
  </si>
  <si>
    <t>Journal of Metaverse</t>
  </si>
  <si>
    <t>121 - 132</t>
  </si>
  <si>
    <t>Amid Education 4.0 and the Fourth Industrial Revolution, we explore the integration of self-directed learning within the metaverse. This study envisions empowered learners, merging the metaverse’s immersive potential with self-directed learning. Using tex</t>
  </si>
  <si>
    <t>10.57019/jmv.1302136</t>
  </si>
  <si>
    <t>https://www.scopus.com/pages/publications/85180167186?origin=resultslist</t>
  </si>
  <si>
    <t>blockchain; Education 4.0; educational metaverse; learner-centered; text-mining; value exchange</t>
  </si>
  <si>
    <t>Izmir Academy Association</t>
  </si>
  <si>
    <t>27920232</t>
  </si>
  <si>
    <t>Research on College Student Behavior Analysis and Campus Safety Risk Early Warning System Based on Deep Learning and Big Data Analysis</t>
  </si>
  <si>
    <t>Leng, Jinze</t>
  </si>
  <si>
    <t>Proceedings of the 2nd Guangdong-Hong Kong-Macao Greater Bay Area International  Conference on Digital Economy and Artificial Intelligence, DEAI 2025</t>
  </si>
  <si>
    <t>1288 - 1292</t>
  </si>
  <si>
    <t>Campus safety management is an important issue that colleges and universities need to address urgently at present. The traditional management approach is difficult to cope with the demand for safety risk identification under the complex behavioral pattern</t>
  </si>
  <si>
    <t>10.1145/3745238.3745439</t>
  </si>
  <si>
    <t>https://www.scopus.com/pages/publications/105014739339?origin=resultslist</t>
  </si>
  <si>
    <t>big data analysis; campus safety; intelligent management; recurrent neural network; risk identification</t>
  </si>
  <si>
    <t>Behavioral research; Big data; Classification (of information); Data accuracy; Data reduction; Deep neural networks; Health risks; Information management; Learning systems; Metadata; Risk analysis; Risk assessment; Risk management; Safety engineering; Stu</t>
  </si>
  <si>
    <t>Predicting Course Transferability Using Deep Embeddings and Traditional Classifiers</t>
  </si>
  <si>
    <t>Kim, Mark and Raghuraman, Shreyas and Puder, Arno and Hayward, Craig and Yang, Hui</t>
  </si>
  <si>
    <t>625 - 629</t>
  </si>
  <si>
    <t>In this paper, we introduce a novel approach to automate course equivalency evaluation across multiple colleges using publicly available data, deep embedding models, and traditional machine learning. The current process of determining course equivalency i</t>
  </si>
  <si>
    <t>10.5281/zenodo.15870240</t>
  </si>
  <si>
    <t>https://www.scopus.com/pages/publications/105023315305?origin=resultslist</t>
  </si>
  <si>
    <t>Course Equivalency Evaluation; Deep Learning; Higher Education; Machine Learning; Text Embeddings</t>
  </si>
  <si>
    <t>An exploration of the causal factors making an online course content popular &amp; engaging</t>
  </si>
  <si>
    <t>Jatain, Divya and Singh, Vikram and Dahiya, Naveen</t>
  </si>
  <si>
    <t>International Journal of Information Management Data Insights</t>
  </si>
  <si>
    <t>An education system consists of imparting knowledge, assessing the learners, collecting feedback, analysing it, and taking proper measures to improve it. All these measures ultimately improve learner satisfaction which gets reflected in the learner perfor</t>
  </si>
  <si>
    <t>10.1016/j.jjimei.2023.100194</t>
  </si>
  <si>
    <t>https://www.scopus.com/pages/publications/85168604511?origin=resultslist</t>
  </si>
  <si>
    <t>Architecture for educational technology system; Data science applications in education; Distance education and online learning; Social media</t>
  </si>
  <si>
    <t>26670968</t>
  </si>
  <si>
    <t>Cited by: 11; All Open Access; Gold Open Access; Green Open Access</t>
  </si>
  <si>
    <t>Leveraging AI Technology for Coding the Classroom Observation Record Form of Flanders Interaction Analysis</t>
  </si>
  <si>
    <t>Wang, Ziyang and Yang, Hongwu and Li, Xiangguo and Bu, Xioalong and He, Yanshan and Zhang, Di</t>
  </si>
  <si>
    <t>66094 - 66108</t>
  </si>
  <si>
    <t>This paper addresses several challenges in classroom interaction analysis, including incomplete data collection, coarse-grained behavior classification, subjectivity in analysis, and the difficulty of aligning traditional methods with the evolving demands</t>
  </si>
  <si>
    <t>10.1109/ACCESS.2025.3560311</t>
  </si>
  <si>
    <t>https://www.scopus.com/pages/publications/105003752777?origin=resultslist</t>
  </si>
  <si>
    <t>artificial intelligence; BERT; Classroom interactive behavior analysis; Flanders interactive analysis; Paraformer; speech recognition; text classification</t>
  </si>
  <si>
    <t>Behavioral research; Speech analysis; Text mining; Behavior analysis; BERT; Classroom interactive behavior analyze; Flander interactive analyze; Flanders; Interaction analysis; Interactive analysis; Interactive behavior; Paraformer; Text classification; T</t>
  </si>
  <si>
    <t>Ambiente Virtual Interativo e Inclusivo de Libras (AVIILIB): aplicando as estratégias do Pensamento Computacional e engajando os estudantes com elementos de Gamificação</t>
  </si>
  <si>
    <t>Rafael Souza and Andreza Mourão</t>
  </si>
  <si>
    <t>75--86</t>
  </si>
  <si>
    <t>10.5753/wpci.2023.236131</t>
  </si>
  <si>
    <t>https://sol.sbc.org.br/index.php/wpci/article/view/26150</t>
  </si>
  <si>
    <t>HetGNN: Heterogeneous Graph Neural Network for English Learning Interest Assessment</t>
  </si>
  <si>
    <t>Chen, Lilan and Zhou, Yufeng</t>
  </si>
  <si>
    <t>International Conference on Intelligent and Sustainable AI Systems, ICOSAAS 2026 - Conference Proceedings</t>
  </si>
  <si>
    <t>1118 – 1123</t>
  </si>
  <si>
    <t>10.1109/ICOSAAS68663.2026.11649070</t>
  </si>
  <si>
    <t>https://www.scopus.com/inward/record.uri?eid=2-s2.0-105048456799&amp;doi=10.1109%2fICOSAAS68663.2026.11649070&amp;partnerID=40&amp;md5=a5200e93e72aa25d7b0d669543598e96</t>
  </si>
  <si>
    <t>Live Knowledge Tracing: Real-Time Adaptation Using Tabular Foundation Models</t>
  </si>
  <si>
    <t>Lbath, Mounir and Parésy, Alexandre and Kaddouri, Abdelkayoum and Zighem, Abdelrahman and Vie, Jill-Jênn</t>
  </si>
  <si>
    <t>180 - 186</t>
  </si>
  <si>
    <t>3031 CCIS</t>
  </si>
  <si>
    <t>Deep knowledge tracing models have achieved significant breakthroughs in modeling student learning trajectories. However, these architectures require substantial training time and are prone to overfitting on datasets with short sequences. In this paper, w</t>
  </si>
  <si>
    <t>10.1007/978-3-032-29788-4_26</t>
  </si>
  <si>
    <t>https://www.scopus.com/pages/publications/105043921843?origin=resultslist</t>
  </si>
  <si>
    <t>Knowledge Tracing; Student Modeling; Tabular Foundation Models</t>
  </si>
  <si>
    <t>Deep learning; Knowledge management; Deep knowledge; Foundation models; Knowledge tracings; Learning trajectories; Real-time adaptation; Student learning; Student Modeling; Tabular foundation model; Tracing model; Training time; Students</t>
  </si>
  <si>
    <t>Innovative Applications of Virtual Reality in Art and Design Education</t>
  </si>
  <si>
    <t>Mao, Yantao and Ling, Ju</t>
  </si>
  <si>
    <t>27</t>
  </si>
  <si>
    <t>In contemporary art and design education, traditional methods relying on two-dimensional presentations restrict students' spatial perception and creativity, offering limited practical opportunities. Meanwhile, the rise of virtual reality (VR) technology h</t>
  </si>
  <si>
    <t>10.4018/JCIT.382567</t>
  </si>
  <si>
    <t>https://www.scopus.com/pages/publications/105009534227?origin=resultslist</t>
  </si>
  <si>
    <t>Art and Design Education; Innovative Applications; Teaching Models; Virtual Reality Technology</t>
  </si>
  <si>
    <t>Curricula; Design; E-learning; Education computing; Engineering education; Students; Teaching; Virtual environments; Art and designs; Art educations; Design Education; Immersive; Innovative application; Spatial perception; Teaching model; Technical princi</t>
  </si>
  <si>
    <t>A Mixed-Methods Study of Cultural Heritage Learning through Playing a Serious Game</t>
  </si>
  <si>
    <t>Kara, Nuri</t>
  </si>
  <si>
    <t>International Journal of Human-Computer Interaction</t>
  </si>
  <si>
    <t>1397 - 1408</t>
  </si>
  <si>
    <t>The main goal of this study was to investigate the impact of a serious game on university students’ learning about cultural heritage content and to reveal the factors affecting their learning experiences during the serious gameplay. The serious computer g</t>
  </si>
  <si>
    <t>10.1080/10447318.2022.2125627</t>
  </si>
  <si>
    <t>https://www.scopus.com/pages/publications/85140058773?origin=resultslist</t>
  </si>
  <si>
    <t>Game design; Learning systems; Students; Testing; Cultural heritages; European Countries; Game design; Gameplay; Intangible cultural heritages; Learning experiences; Mixed method; Post test; Student learning; University students; Serious games</t>
  </si>
  <si>
    <t>Taylor and Francis Ltd.</t>
  </si>
  <si>
    <t>10447318</t>
  </si>
  <si>
    <t>Cited by: 37</t>
  </si>
  <si>
    <t>Integrating ChatGPT in Grade 12 Quantum Theory Education: An Exploratory Study at Emirate School (UAE)</t>
  </si>
  <si>
    <t>Alneyadi, Saif and Wardat, Yousef</t>
  </si>
  <si>
    <t>398 - 410</t>
  </si>
  <si>
    <t xml:space="preserve">This study utilizes a quasi-experimental mixed-methods design to investigate the impact of Chatbot applications on student achievement in Quantum Theory courses. The objectives include developing customized Chatbot-supported activities for Quantum Theory </t>
  </si>
  <si>
    <t>10.18178/ijiet.2024.14.3.2061</t>
  </si>
  <si>
    <t>https://www.scopus.com/pages/publications/85187910813?origin=resultslist</t>
  </si>
  <si>
    <t>Chatbot applications; ChatGPT; generative AI; Quantum Theory courses; student achievement</t>
  </si>
  <si>
    <t>Cited by: 24; All Open Access; Gold Open Access</t>
  </si>
  <si>
    <t>Online course evaluation model based on graph auto-encoder</t>
  </si>
  <si>
    <t>Yuan, Wei and Zhao, Shiyu and Wang, Li and Cai, Lijia and Zhang, Yong</t>
  </si>
  <si>
    <t>Intelligent Data Analysis</t>
  </si>
  <si>
    <t>1467 - 1489</t>
  </si>
  <si>
    <t>In the post-epidemic era, online learning has gained increasing attention due to the advancements in information and big data technology, leading to large-scale online course data with various student behaviors. Online data mining has become a popular and</t>
  </si>
  <si>
    <t>10.3233/IDA-230557</t>
  </si>
  <si>
    <t>https://www.scopus.com/pages/publications/105005479814?origin=resultslist</t>
  </si>
  <si>
    <t>deep learning; Educational data mining; graph auto-encoder; online course evaluation</t>
  </si>
  <si>
    <t>Curricula; Large datasets; Online searching; Semi-supervised learning; Auto encoders; Deep learning; Educational data mining; Evaluation models; Graph auto-encoder; Implicit features; Learning behavior; Model-based OPC; Online course; Online course evalua</t>
  </si>
  <si>
    <t>1088467X</t>
  </si>
  <si>
    <t>Predictive Model for Academic Training Course Recommendations Based on Machine Learning Algorithms</t>
  </si>
  <si>
    <t>Thammarak, Karanrat and Kesornsit, Witwisit and Sirisathitkul, Yaowarat</t>
  </si>
  <si>
    <t>17 - 26</t>
  </si>
  <si>
    <t>Given the significance of online education, a recommendation system provides a good opportunity to advise the most suitable courses according to their interest and preferences. This study proposes an academic training course recommendation that applies ma</t>
  </si>
  <si>
    <t>10.5815/ijmecs.2024.03.02</t>
  </si>
  <si>
    <t>https://www.scopus.com/pages/publications/85196309020?origin=resultslist</t>
  </si>
  <si>
    <t>21st century learning; Academic training course; Backpropagation Neural Network; Machine Learning; Random Forest; Recommendation system</t>
  </si>
  <si>
    <t>Automatic modeling learner’s personality using learning analytics approach in an intelligent Moodle learning platform</t>
  </si>
  <si>
    <t>Tlili, Ahmed and Denden, Mouna and Essalmi, Fathi and Jemni, Mohamed and Chang, Maiga and Kinshuk and Chen, Nian-Shing</t>
  </si>
  <si>
    <t>2529 - 2543</t>
  </si>
  <si>
    <t>The ability of automatically modeling learners’ personalities is an important step in building adaptive learning environments. Several studies showed that knowing the personality of each learner can make the learning interaction with the provided learning</t>
  </si>
  <si>
    <t>10.1080/10494820.2019.1636084</t>
  </si>
  <si>
    <t>https://www.scopus.com/pages/publications/85068534506?origin=resultslist</t>
  </si>
  <si>
    <t>assessment; learner modeling; learning analytics; Moodle; Personality; smart learning</t>
  </si>
  <si>
    <t>Cited by: 47</t>
  </si>
  <si>
    <t>Optimize cleaning school's restroom by WSN and LSTM approach</t>
  </si>
  <si>
    <t>Thao, Le Quang and Linh, Le Khanh and Thien, Nguyen Duy and Cuong, Duong Duc and Bach, Ngo Chi and Dang, Nguyen Ha Thai and Hieu, Nguyen Ha Minh and Minh, Nguyen Trieu Hoang and Diep, Nguyen Thi Bich</t>
  </si>
  <si>
    <t>Journal of Intelligent and Fuzzy Systems</t>
  </si>
  <si>
    <t>1057 - 1065</t>
  </si>
  <si>
    <t>45</t>
  </si>
  <si>
    <t>The detection and prediction of cleaning conditions in school restrooms are crucial for reducing health risks and improving service quality. Traditional methods like manual hygienic inspection, fixed cleaning schedules, and automatic flushing devices have</t>
  </si>
  <si>
    <t>10.3233/JIFS-230056</t>
  </si>
  <si>
    <t>https://www.scopus.com/pages/publications/85165358713?origin=resultslist</t>
  </si>
  <si>
    <t>LSTM; manage clean restroom; prediction; Wireless sensor network</t>
  </si>
  <si>
    <t>Ammonia; Cleaning; Health risks; Long short-term memory; Wireless sensor networks; Cleaning schedules; Condition; Efficient scheduling; Manage clean restroom; Model use; Model-based OPC; Prediction modelling; Real- time; Service Quality; Time condition; F</t>
  </si>
  <si>
    <t>10641246</t>
  </si>
  <si>
    <t>Research on Improving Higher Education Exam Quality Based on Weighted k-Medoids Clustering</t>
  </si>
  <si>
    <t>Chen, Linshu and Li, Tao and Chen, Yuxiang and Zhao, Lei and Peng, Li and Zhang, Shiwen and Liang, Wei</t>
  </si>
  <si>
    <t>194 - 209</t>
  </si>
  <si>
    <t>2025 CCIS</t>
  </si>
  <si>
    <t xml:space="preserve">Exam is the most effective method to evaluate the quality of higher education, and improving higher education exam quality is of paramount importance. Traditional methods of analyzing and improving higher education exam quality, such as mean and variance </t>
  </si>
  <si>
    <t>10.1007/978-981-97-0737-9_19</t>
  </si>
  <si>
    <t>https://www.scopus.com/pages/publications/85187797500?origin=resultslist</t>
  </si>
  <si>
    <t>Attribute Weight; Clustering; Exam Quality; Higher Education; k-Medoids</t>
  </si>
  <si>
    <t>Cluster analysis; Clustering algorithms; Pulse amplitude modulation; Attribute weight; Clustering methods; Clusterings; Exam quality; High educations; K-medoids; K-medoids clustering; Quality of higher educations; Robust clustering methods; Sample dataset</t>
  </si>
  <si>
    <t>Innovation and practice of “three-step” training mode of normal students’ educational practice under the empowerment of artificial intelligence</t>
  </si>
  <si>
    <t>Yu, Hong and Wang, Xiaodong and Tang, Liping and Zhao, Li</t>
  </si>
  <si>
    <t>Proceedings of the 2025 2nd International Conference on Computer and Multimedia Technology, ICCMT 2025</t>
  </si>
  <si>
    <t>505 - 510</t>
  </si>
  <si>
    <t>In the context of the flourishing development of artificial intelligence in the education field, the improvement of normal students’ educational practice ability through AI - based means has become an urgent issue. This study developed an AI - supported”t</t>
  </si>
  <si>
    <t>10.1145/3757749.3757834</t>
  </si>
  <si>
    <t>https://www.scopus.com/pages/publications/105020795827?origin=resultslist</t>
  </si>
  <si>
    <t>Artificial intelligence; Normal students; ”Three-step” cultivation mode</t>
  </si>
  <si>
    <t>Clustering algorithms; Education computing; Engineering education; Federated learning; Human engineering; Learning algorithms; Learning systems; Natural language processing systems; Personnel training; Students; Teaching; Classification learning; Cultivat</t>
  </si>
  <si>
    <t>Exploring the Human-LLM Synergy in Advancing Theory-driven Qualitative Analysis</t>
  </si>
  <si>
    <t>Meng, Han and Yang, Yitian and Fu, Wayne and Lee, Jungup and Li, Yunan and Lee, Yi-Chieh</t>
  </si>
  <si>
    <t>ACM Transactions on Computer-Human Interaction</t>
  </si>
  <si>
    <t>Qualitative coding is a demanding yet crucial research method in the field of Human–Computer Interaction (HCI). While recent studies have shown the capability of Large Language Models (LLMs) to perform qualitative coding within theoretical frameworks, the</t>
  </si>
  <si>
    <t>10.1145/3778354</t>
  </si>
  <si>
    <t>https://www.scopus.com/pages/publications/105032386495?origin=resultslist</t>
  </si>
  <si>
    <t>Attribution Model; Human-LLM Collaboration; Mental Health; Qualitative Analysis; Qualitative Coding; Social Stigma</t>
  </si>
  <si>
    <t>Behavioral research; Computer programming; Computer supported cooperative work; Human computer interaction; Interactive computer systems; Iterative methods; Programming theory; Attribution model; Computer interaction; Human-large language model collaborat</t>
  </si>
  <si>
    <t>10730516</t>
  </si>
  <si>
    <t>An Improved Online Teaching Method for Chinese Language Courses in Higher Vocational Education based on Hybrid Machine Learning</t>
  </si>
  <si>
    <t>Xiang, Li</t>
  </si>
  <si>
    <t>2025 International Conference on Intelligent Computing and Knowledge Extraction, ICICKE 2025</t>
  </si>
  <si>
    <t xml:space="preserve">The dynamic growth of online education in higher vocational learning requires the construction of intelligent systems that can evaluate and refine the quality of teaching, particularly in language education such as Chinese. Traditional methods to examine </t>
  </si>
  <si>
    <t>10.1109/ICICKE65317.2025.11136729</t>
  </si>
  <si>
    <t>https://www.scopus.com/pages/publications/105022295521?origin=resultslist</t>
  </si>
  <si>
    <t>hybrid model; online education; random forest; support vector machine; teaching effectiveness evaluation</t>
  </si>
  <si>
    <t>Apprentices; Curricula; Decision making; E-learning; Intelligent systems; Learning systems; Online systems; Real time systems; Teaching; Effectiveness evaluation; Hybrid machine learning; Hybrid model; On-line education; Online teaching; Performance; Rand</t>
  </si>
  <si>
    <t>Evolutionary Regression Models for Engineering Student Feedback and HR Decision Making</t>
  </si>
  <si>
    <t>Mishra, Nidhi and Lalit Sachdeva, Dr.</t>
  </si>
  <si>
    <t>2025 International Conference on Decision Aid Sciences and Applications, DASA 2025</t>
  </si>
  <si>
    <t>761 - 766</t>
  </si>
  <si>
    <t>Modeling student input accurately is one of the most important and critical areas of understanding student performance using educational data mining approaches. The goal is to help educators further refine learning systems based upon student input. Tradit</t>
  </si>
  <si>
    <t>10.1109/DASA68193.2025.11498805</t>
  </si>
  <si>
    <t>https://www.scopus.com/pages/publications/105040832017?origin=resultslist</t>
  </si>
  <si>
    <t>Data Augmentation; Educational Data Mining; Neuroevolution; Regression; Student Feedback Modeling</t>
  </si>
  <si>
    <t>Data accuracy; Data mining; Education computing; Engineering education; Evolutionary algorithms; Feedback; Labeled data; Learning systems; Neural networks; Semantics; Students; Support vector regression; Data augmentation; Decisions makings; Educational d</t>
  </si>
  <si>
    <t>CaseMaster: Designing and Evaluating a Probe for Oral Case Presentation Training with LLM Assistance</t>
  </si>
  <si>
    <t>Ouyang, Yang and Xu, Yuansong and Jiang, Chang and Jin, Yifan and Jiang, Haoran and Li, Quan</t>
  </si>
  <si>
    <t xml:space="preserve">Conference on Human Factors in Computing Systems - Proceedings </t>
  </si>
  <si>
    <t>Preparing an oral case presentation (OCP) is a crucial skill for medical students, requiring clear communication of patient information, clinical findings, and treatment plans. However, inconsistent student participation and limited guidance can make this</t>
  </si>
  <si>
    <t>10.1145/3772318.3790304</t>
  </si>
  <si>
    <t>https://www.scopus.com/pages/publications/105038697437?origin=resultslist</t>
  </si>
  <si>
    <t>Large language models; medical education</t>
  </si>
  <si>
    <t xml:space="preserve">Education computing; Engineering education; Human engineering; Patient treatment; Personnel training; Probes; Students; Expert feedback; Language model; Large language model; Medical students; Patient information; Presentation skills; Skills development; </t>
  </si>
  <si>
    <t>A Large-Scale Feasibility and Ethnography Study of Screen-based AR and 3D Visualization Tools for Anatomy Education: Exploring Gender Perspectives in Learning Experience</t>
  </si>
  <si>
    <t>Barmaki, Roghayeh Leila and Kim, Kangsoo and Guo, Zhang and Wang, Qile and Yu, Kevin and Pearlman, Rebecca and Navab, Nassir</t>
  </si>
  <si>
    <t>Proceedings - 2024 IEEE International Conference on Artificial Intelligence and eXtended and Virtual Reality, AIxVR 2024</t>
  </si>
  <si>
    <t>205 - 214</t>
  </si>
  <si>
    <t>Anatomy education is an indispensable part of medical training, but traditional methods face challenges like limited resources for dissection in large classes and difficulties understanding 2D anatomy in textbooks. Advanced technologies, such as 3D visual</t>
  </si>
  <si>
    <t>10.1109/AIxVR59861.2024.00033</t>
  </si>
  <si>
    <t>https://www.scopus.com/pages/publications/85187216132?origin=resultslist</t>
  </si>
  <si>
    <t>Collaborative Learning; Evaluation Methodologies; Gender and Ethnography; Human-Computer Interface; Screen-based Augmented Reality</t>
  </si>
  <si>
    <t>Education computing; Learning systems; Medical education; Muscle; Students; Textbooks; Three dimensional computer graphics; Visualization; 3D Visualization; Anatomy educations; Collaborative learning; Evaluation methodologies; Gender and ethnography; Huma</t>
  </si>
  <si>
    <t>A comparative analysis, enhancement and evaluation of text anonymization with pre-trained Large Language Models</t>
  </si>
  <si>
    <t>Manzanares-Salor, Benet and Sánchez, David</t>
  </si>
  <si>
    <t>297</t>
  </si>
  <si>
    <t>Large Language Models (LLMs) have gained prominence for their remarkable proficiency across various natural language processing tasks. Recent studies have suggested their potential to outperform current text anonymization methods, although an objective ev</t>
  </si>
  <si>
    <t>10.1016/j.eswa.2025.129474</t>
  </si>
  <si>
    <t>https://www.scopus.com/pages/publications/105014598143?origin=resultslist</t>
  </si>
  <si>
    <t>Evaluation; Large Language Models; Privacy; Text anonymization; Utility</t>
  </si>
  <si>
    <t>Anonymity; Computational linguistics; Natural language processing systems; Privacy-preserving techniques; Anonymization; Comparative analyzes; Evaluation; Language model; Large language model; Model based approach; Privacy; Privacy protection; Text anonym</t>
  </si>
  <si>
    <t>Cited by: 4; All Open Access; Hybrid Gold Open Access</t>
  </si>
  <si>
    <t>Data Driven Evaluation of the New Learning Paradigm Using Machine Learning for Optimizing Graduate Outcomes</t>
  </si>
  <si>
    <t>Yel, Mesra Betty and Buaton, Relita and Akbar, Yuma and Novriyenni</t>
  </si>
  <si>
    <t>1999 - 2019</t>
  </si>
  <si>
    <t>In preparing students to face digital literacy and critical thinking transformations rapid, universities are therefore required to design and implement learning processes that are innovative, adaptive, and differentiated, in accordance with the new learni</t>
  </si>
  <si>
    <t>10.47738/jads.v7i3.1152</t>
  </si>
  <si>
    <t>https://www.scopus.com/pages/publications/105045656768?origin=resultslist</t>
  </si>
  <si>
    <t>Association Rule Mining; Graduate Employability; K-Nearest Neighbors; Learning Outcomes; Machine Learning Based Learning Model; New Learning Paradigm</t>
  </si>
  <si>
    <t>Towards Addressing Item Cold-Start Problem in Collaborative Filtering by Embedding Agglomerative Clustering and FP-Growth into the Recommendation System</t>
  </si>
  <si>
    <t>Kannout, Eyad and Grodzki, Michał and Grzegorowski, Marek</t>
  </si>
  <si>
    <t>Computer Science and Information Systems</t>
  </si>
  <si>
    <t>1343 - 1366</t>
  </si>
  <si>
    <t>This paper introduces a frequent pattern mining framework for recommender systems (FPRS)-a novel approach to address the items’ cold-start problem. This difficulty occurs when a new item hits the system, and properly handling such a situation is one of th</t>
  </si>
  <si>
    <t>10.2298/CSIS221116052K</t>
  </si>
  <si>
    <t>https://www.scopus.com/pages/publications/85174260712?origin=resultslist</t>
  </si>
  <si>
    <t>cold-start problem; frequent pattern mining; quality of recommendations; recommendation system</t>
  </si>
  <si>
    <t>ComSIS Consortium</t>
  </si>
  <si>
    <t>18200214</t>
  </si>
  <si>
    <t>Predicting Tourist Revisit Intention Using Machine Learning: A Comparative Analysis of Models and Feature Importance</t>
  </si>
  <si>
    <t>Pangaribuan, Kezia Deby Celosse and Soegiarto, Duddy and Ervina, Ersy and Mansur, Daduk Merdika and Moorthy, Kohbalan and Pratondo, Agus</t>
  </si>
  <si>
    <t>Proceedings of the 2026 IEEE International Conference on Industry 4.0, Artificial Intelligence, and Communications Technology, IAICT 2026</t>
  </si>
  <si>
    <t>536 – 542</t>
  </si>
  <si>
    <t>10.1109/IAICT71158.2026.11620950</t>
  </si>
  <si>
    <t>https://www.scopus.com/inward/record.uri?eid=2-s2.0-105046930541&amp;doi=10.1109%2fIAICT71158.2026.11620950&amp;partnerID=40&amp;md5=9c5ecb3aab96dd5ad986dad8b028653a</t>
  </si>
  <si>
    <t>Design and optimization of education informatization model and intelligent recommendation system based on student perception</t>
  </si>
  <si>
    <t>Bian, Lu and Chang, Ming</t>
  </si>
  <si>
    <t>Purpose: The study aims to design and optimize an intelligent education informatization model and recommendation system based on student perception, utilizing a novel Customized Butterfly-Optimized Feed-Forward Neural Network (CBO-FFNN). Design: This rese</t>
  </si>
  <si>
    <t>10.1007/s44163-025-00727-6</t>
  </si>
  <si>
    <t>https://www.scopus.com/pages/publications/105028767694?origin=resultslist</t>
  </si>
  <si>
    <t>Butterfly optimization; CBO-FFNN; Education informatization; Intelligent recommendation system; Personalized learning; Student perception</t>
  </si>
  <si>
    <t>Curricula; Education computing; Informatization; Learning systems; Students; Butterfly optimization; Customized butterfly-optimized feed-forward neural network; Design and optimization; Education informatization; Feed forward neural net works; Informatiza</t>
  </si>
  <si>
    <t>Distractor Generation in Multiple-Choice Tasks: A Survey of Methods, Datasets, and Evaluation</t>
  </si>
  <si>
    <t>Alhazmi, Elaf and Sheng, Quan Z. and Zhang, Wei Emma and Zaib, Munazza and Alhazmi, Ahoud</t>
  </si>
  <si>
    <t>EMNLP 2024 - 2024 Conference on Empirical Methods in Natural Language Processing, Proceedings of the Conference</t>
  </si>
  <si>
    <t>14437 - 14458</t>
  </si>
  <si>
    <t>The distractor generation task focuses on generating incorrect but plausible options for objective questions such as fill-in-the-blank and multiple-choice questions. This task is widely utilized in educational settings across various domains and subjects.</t>
  </si>
  <si>
    <t>10.18653/v1/2024.emnlp-main.799</t>
  </si>
  <si>
    <t>https://www.scopus.com/pages/publications/85217825760?origin=resultslist</t>
  </si>
  <si>
    <t>Benchmarking; Computational linguistics; Deep learning; 'current; Educational settings; Evaluation metrics; Language model; Learning methods; Modal domain; Multi-modal; Multiple choice; Multiple-choice questions; Neural-networks; Contrastive Learning</t>
  </si>
  <si>
    <t>Cited by: 16; All Open Access; Gold Open Access</t>
  </si>
  <si>
    <t>Quantifying the impact of student enrollment patterns on academic success using a hidden markov model</t>
  </si>
  <si>
    <t>Boumi, Shahab and Vela, Adan Ernesto</t>
  </si>
  <si>
    <t>Simplified classifications have often led to college students being labeled as full-time or part-time students. However, student enrollment patterns can be much more complicated at many universities, as it is common for students to switch between full-tim</t>
  </si>
  <si>
    <t>10.3390/app11146453</t>
  </si>
  <si>
    <t>https://www.scopus.com/pages/publications/85111134918?origin=resultslist</t>
  </si>
  <si>
    <t>Academic outcomes; First-time-in-college students; Hidden Markov model; Student enrollment pattern; Transfer students</t>
  </si>
  <si>
    <t>MDPI AG</t>
  </si>
  <si>
    <t>Assessment of Higher-order Thinking Skills in Conversation Situation</t>
  </si>
  <si>
    <t>Zhang, Mengxin and Gou, Juanqiong and Zhang, Fangcong and Zhang, Xiaowei</t>
  </si>
  <si>
    <t>Procedia Computer Science</t>
  </si>
  <si>
    <t>845 - 852</t>
  </si>
  <si>
    <t>242</t>
  </si>
  <si>
    <t>Assessment of students' higher-order thinking skills is a key issue in education, and data-driven multimodal learning analytics is the way forward. Mining the essential content of collaborative conversations is the key to the assessment of higher-order th</t>
  </si>
  <si>
    <t>10.1016/j.procs.2024.08.210</t>
  </si>
  <si>
    <t>https://www.scopus.com/pages/publications/85203330525?origin=resultslist</t>
  </si>
  <si>
    <t>conversation analysis; High-order thinking skills; learning evaluation; multi-modal learning analytics; situation modelling</t>
  </si>
  <si>
    <t>Adversarial machine learning; Contrastive Learning; Federated learning; Collaborative conversation; Conversation analysis; Data driven; Higher order thinking skills; Key Issues; Learning evaluations; Learning situation; Multi-modal learning; Multi-modal l</t>
  </si>
  <si>
    <t>18770509</t>
  </si>
  <si>
    <t>Predicting Academic Success of College Students Using Machine Learning Techniques</t>
  </si>
  <si>
    <t>Guanin-Fajardo, Jorge Humberto and Guaña-Moya, Javier and Casillas, Jorge</t>
  </si>
  <si>
    <t>College context and academic performance are important determinants of academic success; using students’ prior experience with machine learning techniques to predict academic success before the end of the first year reinforces college self-efficacy. Dropo</t>
  </si>
  <si>
    <t>10.3390/data9040060</t>
  </si>
  <si>
    <t>https://www.scopus.com/pages/publications/85191306226?origin=resultslist</t>
  </si>
  <si>
    <t>academic success; educational analysis; educational data mining; higher education; machine learning</t>
  </si>
  <si>
    <t>Data mining; Decision trees; Forecasting; Learning algorithms; Students; Academic performance; Academic success; College students; Educational analyse; Educational data mining; High educations; Machine learning techniques; Machine-learning; Prior experien</t>
  </si>
  <si>
    <t>Cited by: 46; All Open Access; Gold Open Access; Green Open Access</t>
  </si>
  <si>
    <t>Revolutionizing Departmental Management through Intelligent Technology:A Machine Learning Approach to Optimization</t>
  </si>
  <si>
    <t>Arockia Mary, P. and Umamaheswari, K. and Bhushan, S.S. and Hariharan, K.S. and Dennish Albert, G. and Harivarshan, R.</t>
  </si>
  <si>
    <t>Proceedings - 3rd International Conference on Artificial Intelligence and Machine Learning Applications: Healthcare and Internet of Things, AIMLA 2025</t>
  </si>
  <si>
    <t xml:space="preserve">The increasing complexity of academic administration necessitates intelligent automation for Department Management Systems (DMS). Traditional systems rely on manual scheduling, attendance tracking, and student evaluation, which results in inefficiencies, </t>
  </si>
  <si>
    <t>https://www.scopus.com/pages/publications/105010565287?origin=resultslist</t>
  </si>
  <si>
    <t>AI-based Timetable Scheduling; AI-powered Department Management System; Machine learning; Role-Based Access Control (RBAC)</t>
  </si>
  <si>
    <t>Authentication; Automation; Balancing; Biometrics; Data privacy; Decision making; Deep learning; Engineering education; Learning systems; Predictive analytics; Students; Teaching; AI-based timetable scheduling; AI-powered department management system; Int</t>
  </si>
  <si>
    <t>Predicting Student Dropout Rates in Massive Open Online Courses Using an Attention-Based GCNN Model</t>
  </si>
  <si>
    <t>Balachandar, S. and Mann, Shikha and Thangam, A. and Dubey, Vivek Ravishankar and Bindu, V. and Nishant, Neerav</t>
  </si>
  <si>
    <t>1st International Conference on Electronics, Computing, Communication and Control Technology, ICECCC 2024</t>
  </si>
  <si>
    <t xml:space="preserve">There is a treasure trove of information, insights, and monitoring possibilities in the mountains of student data that colleges collect. Economic growth, employment prospects, competitiveness, and productivity are all hindered by educational failures and </t>
  </si>
  <si>
    <t>10.1109/ICECCC61767.2024.10593955</t>
  </si>
  <si>
    <t>https://www.scopus.com/pages/publications/85200669305?origin=resultslist</t>
  </si>
  <si>
    <t>Attention Layer; Graph Convolutional Network (GCN); Student Dropout (SD)</t>
  </si>
  <si>
    <t>Data reduction; E-learning; Economics; Education computing; Network layers; Academic performance; Attention layer; Convolutional networks; Datapoints; Economic growths; Graph convolutional network; Higher education institutions; Massive open online course</t>
  </si>
  <si>
    <t>Investigating the Importance of Demographic Features for EDM-Predictions</t>
  </si>
  <si>
    <t>125 - 136</t>
  </si>
  <si>
    <t>Demographic features are commonly used in Educational Data Mining (EDM) research to predict at-risk students. Yet, the practice of using demographic features has to be considered extremely problematic due to the data’s sensitive nature, but also because (</t>
  </si>
  <si>
    <t>10.5281/zenodo.8115647</t>
  </si>
  <si>
    <t>https://www.scopus.com/pages/publications/105023196410?origin=resultslist</t>
  </si>
  <si>
    <t>at-risk prediction; bias; categorical features; demographic features; fairness</t>
  </si>
  <si>
    <t>Cited by: 18</t>
  </si>
  <si>
    <t>A machine learning framework for soft skills assessment: Leveraging serious games in higher education</t>
  </si>
  <si>
    <t>Marengo, Agostino and Pagano, Alessandro and Santamato, Vito</t>
  </si>
  <si>
    <t>This study explores the use of serious games combined with machine learning techniques to evaluate student efficiency and determine appropriate degree programs. The main research question addressed is: How can predictive machine learning algorithms, appli</t>
  </si>
  <si>
    <t>10.1016/j.caeai.2025.100469</t>
  </si>
  <si>
    <t>https://www.scopus.com/pages/publications/105014622983?origin=resultslist</t>
  </si>
  <si>
    <t>Academic performance; Machine learning; Serious games; Serious games for higher education; Soft skills</t>
  </si>
  <si>
    <t>Behavioral research; Curricula; Data envelopment analysis; Education computing; Educational technology; Efficiency; Engineering education; Learning algorithms; Learning systems; Logistic regression; Machine learning; Students; Academic performance; Data e</t>
  </si>
  <si>
    <t>VijayaKumar, Nukala and Rafi, Shaik and Mahith, Tumpala and Reddy, D. Venkata and Naik, Kethavath Ravi and Raju, Kolakani</t>
  </si>
  <si>
    <t>2nd IEEE International Conference on Integrated Intelligence and Communication Systems, ICIICS 2024</t>
  </si>
  <si>
    <t xml:space="preserve">The student performance is examined in this study using a number of methods of Educational Data Mining (EDM), Clustering and classification techniques are employed to classify the course as well as the performance in the entrance examination. The results </t>
  </si>
  <si>
    <t>https://www.scopus.com/pages/publications/85218181300?origin=resultslist</t>
  </si>
  <si>
    <t>academic performance; data mining; early detection; graph mining introduction; non-academic performance student performance prediction</t>
  </si>
  <si>
    <t>Contrastive Learning; Decision trees; Federated learning; Prediction models; Students; Academic performance; Early detection; Graph mining; Graph mining introduction; Multi-faceted approach; Non-academic performance student performance prediction; Perform</t>
  </si>
  <si>
    <t>IntelliDaM: A Machine Learning-Based Framework for Enhancing the Performance of Decision-Making Processes. A Case Study for Educational Data Mining</t>
  </si>
  <si>
    <t>Czibula, Gabriela and Ciubotariu, George and Maier, Mariana-Ioana and Lisei, Hannelore</t>
  </si>
  <si>
    <t>80651 - 80666</t>
  </si>
  <si>
    <t>Nowadays, both predictive and descriptive modelling play a key role in decision-making processes in almost every branch of activity. In this article we are introducing IntelliDaM , a generic machine learning-based framework useful for improving the perfor</t>
  </si>
  <si>
    <t>10.1109/ACCESS.2022.3195531</t>
  </si>
  <si>
    <t>https://www.scopus.com/pages/publications/85135740182?origin=resultslist</t>
  </si>
  <si>
    <t>Data mining; educational data mining; machine learning; prediction; students-performance analysis</t>
  </si>
  <si>
    <t>Artificial intelligence; Curricula; Data mining; Education computing; Learning systems; Students; Decision-making process; Decisions makings; Educational data mining; Machine-learning; Performance; Performance prediction; Predictive models; Student perfor</t>
  </si>
  <si>
    <t>GNN-driven modeling and prediction of multi-dimensional correlation of international medical education quality based on competence</t>
  </si>
  <si>
    <t>Yang, Ailing and Lin, Ling and Zhang, Hu and Su, Rong and Li, Yunfei</t>
  </si>
  <si>
    <t>This study addresses the challenge of modeling competency-based international medical education (IME) quality, where traditional methods struggle with heterogeneous multi-dimensional indicators and temporal dynamics. We propose RT-GAT (Relational Temporal</t>
  </si>
  <si>
    <t>10.1016/j.caeai.2026.100582</t>
  </si>
  <si>
    <t>https://www.scopus.com/pages/publications/105035102459?origin=resultslist</t>
  </si>
  <si>
    <t>Competency-based international medical education; Education quality; Multi-dimensional correlation modeling and prediction; Relational attention; RT-GAT model</t>
  </si>
  <si>
    <t>Binary alloys; Correlation methods; Education computing; Forecasting; Medical education; Potassium alloys; Prediction models; Signal encoding; Students; Competency-based international medical education; Correlation modeling; Education quality; Modelling a</t>
  </si>
  <si>
    <t>MOOC dropout prediction using a fusion deep model based on behaviour features</t>
  </si>
  <si>
    <t>Zheng, Yafeng and Shao, Zheng and Deng, Mingming and Gao, Zhanghao and Fu, Qian</t>
  </si>
  <si>
    <t>Computers and Electrical Engineering</t>
  </si>
  <si>
    <t>104</t>
  </si>
  <si>
    <t>High dropout rates have always been a problem for massive open online courses (MOOCs) to address. Dropout prediction has been used as an important method to address this situation. Learners' online learning behaviour is a good indicator of MOOC learning s</t>
  </si>
  <si>
    <t>10.1016/j.compeleceng.2022.108409</t>
  </si>
  <si>
    <t>https://www.scopus.com/pages/publications/85139828817?origin=resultslist</t>
  </si>
  <si>
    <t>Bidirectional long short-term memory network; Convolutional neural network; Dropout prediction; MOOCs; Self-attention mechanism</t>
  </si>
  <si>
    <t xml:space="preserve">Brain; Convolution; Convolutional neural networks; E-learning; Forecasting; Learning systems; Attention mechanisms; Bidirectional long short-term memory network; Convolutional neural network; Dropout prediction; Feature representation; Learning behavior; </t>
  </si>
  <si>
    <t>00457906</t>
  </si>
  <si>
    <t>Cognitive-Fuzzy Learning System-Based University English Smart Classroom Teaching Design and Application</t>
  </si>
  <si>
    <t>Lai, Ningyi</t>
  </si>
  <si>
    <t>International Arab Journal of Information Technology</t>
  </si>
  <si>
    <t>781 - 795</t>
  </si>
  <si>
    <t xml:space="preserve">Cognitive-fuzzy learning systems are revolutionizing university English smart classrooms, offering innovative solutions to longstanding educational challenges. Existing English language education often struggles with accommodating diverse learning styles </t>
  </si>
  <si>
    <t>10.34028/iajit/23/4/13</t>
  </si>
  <si>
    <t>https://www.scopus.com/pages/publications/105046670333?origin=resultslist</t>
  </si>
  <si>
    <t>adaptive learning model; cognitive-fuzzy learning systems; fuzzy logic in education; language education technology; Real-time teaching strategies; smart classrooms; university english teaching</t>
  </si>
  <si>
    <t>Zarka Private University</t>
  </si>
  <si>
    <t>16833198</t>
  </si>
  <si>
    <t>Assessment of civic education in universities from a multidimensional perspective: the Integration of OBE and CIPP models</t>
  </si>
  <si>
    <t>Zhu, Yimin</t>
  </si>
  <si>
    <t>International Journal of Information and Communication Technology</t>
  </si>
  <si>
    <t>21 - 34</t>
  </si>
  <si>
    <t>This study explores methods for assessing ideological and political education in higher education, proposing an innovative framework that combines outcome-based education (OBE) with the context, input, process and product (CIPP) model. By employing multim</t>
  </si>
  <si>
    <t>10.1504/IJICT.2024.143413</t>
  </si>
  <si>
    <t>https://www.scopus.com/pages/publications/85212830442?origin=resultslist</t>
  </si>
  <si>
    <t>CIPP; civic education; context, input, process and product; multidimensional data fusion; OBE; outcome-based education</t>
  </si>
  <si>
    <t>Adversarial machine learning; Data accuracy; Data fusion; Federated learning; Civic education; Context models; Context, input, process and product; Multidimensional data; Multidimensional data fusion; Outcome-based education; Process-models; Product model</t>
  </si>
  <si>
    <t>Inderscience Publishers</t>
  </si>
  <si>
    <t>14666642</t>
  </si>
  <si>
    <t>Cited by: 3; All Open Access; Hybrid Gold Open Access</t>
  </si>
  <si>
    <t>XGNN-AP: Explainable Graph Neural Network for Academic Performance</t>
  </si>
  <si>
    <t>Patel, Palak and Thakkar, Tejas</t>
  </si>
  <si>
    <t>International Journal of Computer Information Systems and Industrial Management Applications</t>
  </si>
  <si>
    <t>605 - 626</t>
  </si>
  <si>
    <t xml:space="preserve">Academic performance prediction has gained importance as a research domain in educational data mining, allowing for detection of at-risk students and taking proactive measures to support them. Traditional methods of machine learning have been focusing on </t>
  </si>
  <si>
    <t>10.70917/ijcisim-2026-2384</t>
  </si>
  <si>
    <t>https://www.scopus.com/pages/publications/105044744124?origin=resultslist</t>
  </si>
  <si>
    <t>Cerebration Science Publishing</t>
  </si>
  <si>
    <t>21507988</t>
  </si>
  <si>
    <t>Automated Student Engagement Detection Using Hybrid Deep Learning and Machine Learning Techniques</t>
  </si>
  <si>
    <t>Abdelhamid, Sherif E. and Aly, Mona</t>
  </si>
  <si>
    <t>Proceedings - Frontiers in Education Conference, FIE</t>
  </si>
  <si>
    <t>This full research paper explores using artificial intelligence to automate student engagement detection in face-toface and online learning environments. Monitoring engagement, especially in large-scale classrooms such as MOOCs, presents challenges due to</t>
  </si>
  <si>
    <t>10.1109/FIE63693.2025.11328252</t>
  </si>
  <si>
    <t>https://www.scopus.com/pages/publications/105033055798?origin=resultslist</t>
  </si>
  <si>
    <t>Assessment tools; Engagement; Learning modality; Learning technology; Massive Open Online Classes (MOOCs)</t>
  </si>
  <si>
    <t xml:space="preserve">Behavioral research; Bibliographies; Computer aided instruction; Deep learning; E-learning; Engineering education; Federated learning; Learning algorithms; Learning systems; Logistic regression; Students; Assessment tool; Engagement; Learning modalities; </t>
  </si>
  <si>
    <t>15394565</t>
  </si>
  <si>
    <t>Challenging social media threats using collective well-being-aware recommendation algorithms and an educational virtual companion</t>
  </si>
  <si>
    <t>Ognibene, Dimitri and Wilkens, Rodrigo and Taibi, Davide and Hernández-Leo, Davinia and Kruschwitz, Udo and Donabauer, Gregor and Theophilou, Emily and Lomonaco, Francesco and Bursic, Sathya and Lobo, Rene Alejandro and Sánchez-Reina, J. Roberto and Scifo</t>
  </si>
  <si>
    <t>Frontiers in Artificial Intelligence</t>
  </si>
  <si>
    <t>Social media have become an integral part of our lives, expanding our interlinking capabilities to new levels. There is plenty to be said about their positive effects. On the other hand, however, some serious negative implications of social media have bee</t>
  </si>
  <si>
    <t>10.3389/frai.2022.654930</t>
  </si>
  <si>
    <t>https://www.scopus.com/pages/publications/85147026359?origin=resultslist</t>
  </si>
  <si>
    <t>collective well-being; hierarchical reinforcement learning; recommender systems; social media; social media threats; virtual companion</t>
  </si>
  <si>
    <t>Frontiers Media S.A.</t>
  </si>
  <si>
    <t>26248212</t>
  </si>
  <si>
    <t>Cited by: 35; All Open Access; Gold Open Access; Green Open Access</t>
  </si>
  <si>
    <t>Assessing the Learning Outcomes of Using Mobile Game Integration in Teaching English Vocabulary: A Case Study of Saudi Arabia</t>
  </si>
  <si>
    <t>Alotaibi, Khalid Abdullah and Alharbi, Madhawi Ghallab</t>
  </si>
  <si>
    <t>International Journal of Sociotechnology and Knowledge Development</t>
  </si>
  <si>
    <t>The English language has been taught in Saudi Arabia since 1958. But the student achievements have not been satisfactory, hence the imperative to research new teaching methods. The purpose of this study is to investigate the potential and effects of using</t>
  </si>
  <si>
    <t>10.4018/IJSKD.299051</t>
  </si>
  <si>
    <t>https://www.scopus.com/pages/publications/85149811749?origin=resultslist</t>
  </si>
  <si>
    <t>Assessment; E-Learning; EFL; Learning; Mobile Games; Student Achievement; Vocabulary Learning</t>
  </si>
  <si>
    <t>19416253</t>
  </si>
  <si>
    <t>Investigating Hackathons with Collaboration Analytics</t>
  </si>
  <si>
    <t>Spikol, Daniel and Li, Zaibei and Nolte, Alexander and Ohsaki, Ayano and Rapur, Karl</t>
  </si>
  <si>
    <t>1 - 8</t>
  </si>
  <si>
    <t>Hackathons, collaborative events where individuals form teams to address specific problems, have gained significant traction across various domains since the early 2000s. Due to their time-bound nature, these events present unique challenges, necessitatin</t>
  </si>
  <si>
    <t>10.1145/3697789.3697797</t>
  </si>
  <si>
    <t>https://www.scopus.com/pages/publications/105005942970?origin=resultslist</t>
  </si>
  <si>
    <t>Collaboration Analytics; CSCW; Hackathons; Iterative Design; Prototyping; Sociometric Wearable Devices</t>
  </si>
  <si>
    <t>Collaboration analytic; CSCW; Hackathon; Iterative design; Prototyping; Sociometric wearable device; Sociometrics; Specific problems; Time bound; Wearable devices; Intellectual property core</t>
  </si>
  <si>
    <t>Predição de evasão no curso de Sistemas de Informação da UFSM utilizando dados históricos</t>
  </si>
  <si>
    <t>Leonardo Dallanora and Sérgio Mergen</t>
  </si>
  <si>
    <t>11--20</t>
  </si>
  <si>
    <t>10.5753/erbd.2026.20265</t>
  </si>
  <si>
    <t>https://sol.sbc.org.br/index.php/erbd/article/view/43864</t>
  </si>
  <si>
    <t>2595-413X</t>
  </si>
  <si>
    <t>Practical Research on Generative AI Empowering Classroom Teaching Reform</t>
  </si>
  <si>
    <t>Xiang, Chengcheng and Deng, Qiaodan and Huang, Xiyi</t>
  </si>
  <si>
    <t>2026 9th International Conference on Artificial Intelligence and Big Data, ICAIBD 2026</t>
  </si>
  <si>
    <t>748 – 754</t>
  </si>
  <si>
    <t>10.1109/ICAIBD69640.2026.11637213</t>
  </si>
  <si>
    <t>https://www.scopus.com/inward/record.uri?eid=2-s2.0-105048332274&amp;doi=10.1109%2fICAIBD69640.2026.11637213&amp;partnerID=40&amp;md5=ea3dff669c4051a581f4277043ce045d</t>
  </si>
  <si>
    <t>Gamification and Active Learning in Agricultural Engineering: Evaluating the Impact of an Interactive Response System on Academic Performance and Stress Reduction</t>
  </si>
  <si>
    <t>Marín-Membrive, Patricia and Peña-Fernández, Araceli and Valera-Martínez, Diego Luis</t>
  </si>
  <si>
    <t>10.3390/educsci16081320</t>
  </si>
  <si>
    <t>https://www.scopus.com/inward/record.uri?eid=2-s2.0-105048438879&amp;doi=10.3390%2feducsci16081320&amp;partnerID=40&amp;md5=4b62e9866ebd12a675f8e5d5f94310a5</t>
  </si>
  <si>
    <t>Can data reveal learning in computing? Insights from an empirical study in Game Learning Analytics</t>
  </si>
  <si>
    <t>Waldecir Martins and Fabrizio Honda and David Fernandes and Fernanda Pires and Marcela Pessoa</t>
  </si>
  <si>
    <t>43--56</t>
  </si>
  <si>
    <t>10.5753/educomp.2026.18682</t>
  </si>
  <si>
    <t>https://sol.sbc.org.br/index.php/educomp/article/view/42623</t>
  </si>
  <si>
    <t>3086-0733</t>
  </si>
  <si>
    <t>Deciding if and How to Use a COVID-19 Contact Tracing App: Influences of Social Factors on Individual Use in Japan</t>
  </si>
  <si>
    <t>Jamieson, Jack and Yamashita, Naomi and Epstein, Daniel A. and Chen, Yunan</t>
  </si>
  <si>
    <t>Contact tracing apps have been suggested as a promising approach towards containing viral spread during pandemics, yet their actual use in the COVID-19 pandemic has been low. While researchers have examined reasons for or against installing contact tracin</t>
  </si>
  <si>
    <t>10.1145/3479868</t>
  </si>
  <si>
    <t>https://www.scopus.com/pages/publications/85117773488?origin=resultslist</t>
  </si>
  <si>
    <t>contact tracing; COVID-19; public health; stigmatization; technology adoption</t>
  </si>
  <si>
    <t>Behavioral research; Risk assessment; Actual use; Contact tracing; COVID-19; Follow up; Social factor; Stigmatization; Technology adoption; Viral spread; Well being; Working people; Surveys</t>
  </si>
  <si>
    <t>Deep Learning Approaches to Predict Student Success in English Language Learning</t>
  </si>
  <si>
    <t>Nimma, Divya and Thamarai Selvi, M.D. and Sunori, S.K. and Pathak, Punit and Sabareesh, R. and Prema, S.</t>
  </si>
  <si>
    <t>2nd IEEE International Conference on Innovations in High-Speed Communication and Signal Processing, IHCSP 2024</t>
  </si>
  <si>
    <t xml:space="preserve">Predicting student achievement in English language learning has traditionally relied on standardized tests and trainer opinions. While these methods provide precious insights, they often fail to capture nuanced components of language talent and character </t>
  </si>
  <si>
    <t>10.1109/IHCSP63227.2024.10959969</t>
  </si>
  <si>
    <t>https://www.scopus.com/pages/publications/105004556790?origin=resultslist</t>
  </si>
  <si>
    <t>Generative Pre-trained Transformer; Language Proficiency; Natural Language Processing; Personalized Feedback; Predictive Analytics</t>
  </si>
  <si>
    <t>Deep learning; Engineering education; Students; English languages; Generative pre-trained transformer; Language learning; Language processing; Language proficiency; Language talent; Natural language processing; Natural languages; Performance; Personalized</t>
  </si>
  <si>
    <t>From Queries to Courses: SKYRAG's Revolution in Learning Path Generation via Keyword-Based Document Retrieval</t>
  </si>
  <si>
    <t>Setyawan Soekamto, Yosua and Christopher Limanjaya, Leonard and Kaleb Purwanto, Yoshua and Kang, Dae-Ki</t>
  </si>
  <si>
    <t>21434 - 21455</t>
  </si>
  <si>
    <t>Large Language Models (LLMs) hold immense potential for transforming education by automating the generation of personalized learning paths. However, traditional LLMs often suffer from hallucinations and content irrelevance. To address these challenges, we</t>
  </si>
  <si>
    <t>10.1109/ACCESS.2025.3535618</t>
  </si>
  <si>
    <t>https://www.scopus.com/pages/publications/85216940656?origin=resultslist</t>
  </si>
  <si>
    <t>educational technology; human-centric design; large language models; personalized learning path; Retrieval augmented generation</t>
  </si>
  <si>
    <t>Adversarial machine learning; Contrastive Learning; Curricula; Federated learning; Learning systems; Online searching; Query languages; Search engines; Teaching; Document Retrieval; Human-centric designs; Keyword-based; Language model; Large language mode</t>
  </si>
  <si>
    <t>A Living Lab Model for Elementary Informatics Education: Enhancing Sustainability Competencies Through Collaborative Problem-Solving, Computational Thinking, and Communication</t>
  </si>
  <si>
    <t>Son, Jungmyoung and Kim, Seulki</t>
  </si>
  <si>
    <t>Rapid digital transformation demands educational approaches that effectively equip students with competencies crucial for addressing real-world sustainability challenges. This study introduces and evaluates a Living Lab-based collaborative problem-solving</t>
  </si>
  <si>
    <t>10.3390/su17135811</t>
  </si>
  <si>
    <t>https://www.scopus.com/pages/publications/105010308436?origin=resultslist</t>
  </si>
  <si>
    <t>collaborative communication; collaborative problem-solving; computational thinking; informatics in K-12; Living Lab; STEM education; sustainable curriculum</t>
  </si>
  <si>
    <t>South Korea; communication; curriculum; education; interdisciplinary approach; laboratory method; student; sustainability</t>
  </si>
  <si>
    <t>Sentence Embedding Generation Framework Based on Kullback–Leibler Divergence Optimization and RoBERTa Knowledge Distillation</t>
  </si>
  <si>
    <t>Han, Jin and Yang, Liang</t>
  </si>
  <si>
    <t xml:space="preserve">In natural language processing (NLP) tasks, computing semantic textual similarity (STS) is crucial for capturing nuanced semantic differences in text. Traditional word vector methods, such as Word2Vec and GloVe, as well as deep learning models like BERT, </t>
  </si>
  <si>
    <t>10.3390/math12243990</t>
  </si>
  <si>
    <t>https://www.scopus.com/pages/publications/85213228169?origin=resultslist</t>
  </si>
  <si>
    <t>feature selection; knowledge distillation; Kullback–Leibler divergence (KLD); semantic textual similarity (STS); sentence embedding; similarity evaluation</t>
  </si>
  <si>
    <t>An Efficient Linearized Optimization Framework for Designing Balanced and Efficient Degree Plans</t>
  </si>
  <si>
    <t>Slim, Ahmad and Abdallah, Chaouki and Allen, Elisha and Hickman, Michael and Slim, Ameer</t>
  </si>
  <si>
    <t>55 - 65</t>
  </si>
  <si>
    <t>Designing balanced and optimized degree plans is a fundamental challenge in higher education, directly impacting student success, graduation rates, and institutional efficiency. This paper presents an innovative framework that addresses this challenge thr</t>
  </si>
  <si>
    <t>10.5281/zenodo.15870189</t>
  </si>
  <si>
    <t>https://www.scopus.com/pages/publications/105023322307?origin=resultslist</t>
  </si>
  <si>
    <t>balancing degree plan; curricular complexity; graduation rate; mixed-integer linear programming; Student success</t>
  </si>
  <si>
    <t>From Learning Actions to Dynamics: Characterizing Students’ Individual Temporal Behavior with Sequence Analysis</t>
  </si>
  <si>
    <t>Villalobos, Esteban and Pérez-Sanagustín, Mar and Broisin, Julien</t>
  </si>
  <si>
    <t>3 - 17</t>
  </si>
  <si>
    <t>14829 LNAI</t>
  </si>
  <si>
    <t>Researchers recognize the pivotal role of temporal analysis in unraveling learning processes from learners’ trace data. However, most temporal analysis methods focus on clustering similar trajectories, and very few offer metrics to characterize the learne</t>
  </si>
  <si>
    <t>10.1007/978-3-031-64302-6_1</t>
  </si>
  <si>
    <t>https://www.scopus.com/pages/publications/85200207321?origin=resultslist</t>
  </si>
  <si>
    <t>Inverse Probability Weighting; Learning Analytics; Sequence Analysis; Temporal Analysis</t>
  </si>
  <si>
    <t>Dynamics; Inverse problems; Learning systems; Phase sequence indicators; Analysis method; Inverse probability weighting; Learning actions; Learning analytic; Learning process; Probability weighting; Sequence analysis; Temporal analysis; Temporal behavior;</t>
  </si>
  <si>
    <t>Construction of multimodal perception and quantitative assessment model of interactive participation in English classroom</t>
  </si>
  <si>
    <t>Zeng, Guanguan and Liu, Junge</t>
  </si>
  <si>
    <t>1 - 19</t>
  </si>
  <si>
    <t>10.1504/IJICT.2026.10077624</t>
  </si>
  <si>
    <t>https://www.scopus.com/pages/publications/105038943211?origin=resultslist</t>
  </si>
  <si>
    <t>classroom participation; deep learning; English teaching; multimodal perception</t>
  </si>
  <si>
    <t>EC1</t>
  </si>
  <si>
    <t>IC1</t>
  </si>
  <si>
    <t>EC2</t>
  </si>
  <si>
    <t>EC3</t>
  </si>
  <si>
    <t>EC4</t>
  </si>
  <si>
    <t>EC5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</si>
</sst>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Articles per Selection Criteria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dPt>
            <c:idx val="5"/>
            <c:invertIfNegative val="0"/>
            <c:bubble3D val="0"/>
            <c:spPr>
              <a:solidFill>
                <a:schemeClr val="accent6"/>
              </a:solidFill>
              <a:ln>
                <a:noFill/>
              </a:ln>
              <a:effectLst/>
            </c:spPr>
            <c:extLst>
              <c:ext xmlns:c16="http://schemas.microsoft.com/office/drawing/2014/chart" uri="{C3380CC4-5D6E-409C-BE32-E72D297353CC}">
                <c16:uniqueId val="{00000002-4E1D-449B-997E-0625748B2698}"/>
              </c:ext>
            </c:extLst>
          </c:dPt>
          <c:cat>
            <c:strRef>
              <c:f>'Articles per selection criteria'!$E$1:$E$6</c:f>
              <c:strCache>
                <c:ptCount val="6"/>
                <c:pt idx="0">
                  <c:v>EC1</c:v>
                </c:pt>
                <c:pt idx="1">
                  <c:v>EC2</c:v>
                </c:pt>
                <c:pt idx="2">
                  <c:v>EC3</c:v>
                </c:pt>
                <c:pt idx="3">
                  <c:v>EC4</c:v>
                </c:pt>
                <c:pt idx="4">
                  <c:v>EC5</c:v>
                </c:pt>
                <c:pt idx="5">
                  <c:v>IC1</c:v>
                </c:pt>
              </c:strCache>
            </c:strRef>
          </c:cat>
          <c:val>
            <c:numRef>
              <c:f>'Articles per selection criteria'!$G$1:$G$6</c:f>
              <c:numCache>
                <c:formatCode>General</c:formatCode>
                <c:ptCount val="6"/>
                <c:pt idx="0">
                  <c:v>19</c:v>
                </c:pt>
                <c:pt idx="1">
                  <c:v>20</c:v>
                </c:pt>
                <c:pt idx="2">
                  <c:v>67</c:v>
                </c:pt>
                <c:pt idx="3">
                  <c:v>139</c:v>
                </c:pt>
                <c:pt idx="4">
                  <c:v>34</c:v>
                </c:pt>
                <c:pt idx="5">
                  <c:v>80</c:v>
                </c:pt>
              </c:numCache>
            </c:numRef>
          </c:val>
          <c:extLst>
            <c:ext xmlns:c16="http://schemas.microsoft.com/office/drawing/2014/chart" uri="{C3380CC4-5D6E-409C-BE32-E72D297353CC}">
              <c16:uniqueId val="{00000000-4E1D-449B-997E-0625748B2698}"/>
            </c:ext>
          </c:extLst>
        </c:ser>
        <c:dLbls>
          <c:showLegendKey val="0"/>
          <c:showVal val="0"/>
          <c:showCatName val="0"/>
          <c:showSerName val="0"/>
          <c:showPercent val="0"/>
          <c:showBubbleSize val="0"/>
        </c:dLbls>
        <c:gapWidth val="219"/>
        <c:overlap val="-27"/>
        <c:axId val="604841088"/>
        <c:axId val="618969520"/>
      </c:barChart>
      <c:catAx>
        <c:axId val="60484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618969520"/>
        <c:crosses val="autoZero"/>
        <c:auto val="1"/>
        <c:lblAlgn val="ctr"/>
        <c:lblOffset val="100"/>
        <c:noMultiLvlLbl val="0"/>
      </c:catAx>
      <c:valAx>
        <c:axId val="618969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6048410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Records per Search Repository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bar"/>
        <c:grouping val="clustered"/>
        <c:varyColors val="0"/>
        <c:ser>
          <c:idx val="0"/>
          <c:order val="0"/>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'Records per search repository'!$D$1:$D$6</c:f>
              <c:strCache>
                <c:ptCount val="6"/>
                <c:pt idx="0">
                  <c:v>Scopus</c:v>
                </c:pt>
                <c:pt idx="1">
                  <c:v>SBC OpenLib</c:v>
                </c:pt>
                <c:pt idx="2">
                  <c:v>IEEE Digital Library</c:v>
                </c:pt>
                <c:pt idx="3">
                  <c:v>ISI Web of Science</c:v>
                </c:pt>
                <c:pt idx="4">
                  <c:v>Springer Link</c:v>
                </c:pt>
                <c:pt idx="5">
                  <c:v>ACM Digital Library</c:v>
                </c:pt>
              </c:strCache>
            </c:strRef>
          </c:cat>
          <c:val>
            <c:numRef>
              <c:f>'Records per search repository'!$E$1:$E$6</c:f>
              <c:numCache>
                <c:formatCode>General</c:formatCode>
                <c:ptCount val="6"/>
                <c:pt idx="0">
                  <c:v>305</c:v>
                </c:pt>
                <c:pt idx="1">
                  <c:v>18</c:v>
                </c:pt>
                <c:pt idx="2">
                  <c:v>16</c:v>
                </c:pt>
                <c:pt idx="3">
                  <c:v>8</c:v>
                </c:pt>
                <c:pt idx="4">
                  <c:v>7</c:v>
                </c:pt>
                <c:pt idx="5">
                  <c:v>5</c:v>
                </c:pt>
              </c:numCache>
            </c:numRef>
          </c:val>
          <c:extLst>
            <c:ext xmlns:c16="http://schemas.microsoft.com/office/drawing/2014/chart" uri="{C3380CC4-5D6E-409C-BE32-E72D297353CC}">
              <c16:uniqueId val="{00000000-1554-4165-B373-8D9528DFF3E4}"/>
            </c:ext>
          </c:extLst>
        </c:ser>
        <c:dLbls>
          <c:dLblPos val="outEnd"/>
          <c:showLegendKey val="0"/>
          <c:showVal val="1"/>
          <c:showCatName val="0"/>
          <c:showSerName val="0"/>
          <c:showPercent val="0"/>
          <c:showBubbleSize val="0"/>
        </c:dLbls>
        <c:gapWidth val="182"/>
        <c:axId val="620245872"/>
        <c:axId val="618979120"/>
      </c:barChart>
      <c:catAx>
        <c:axId val="620245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618979120"/>
        <c:crosses val="autoZero"/>
        <c:auto val="1"/>
        <c:lblAlgn val="ctr"/>
        <c:lblOffset val="100"/>
        <c:noMultiLvlLbl val="0"/>
      </c:catAx>
      <c:valAx>
        <c:axId val="618979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6202458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Records</a:t>
            </a:r>
            <a:r>
              <a:rPr lang="pt-BR" baseline="0"/>
              <a:t> per Publication Year</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6"/>
            </a:solidFill>
            <a:ln>
              <a:noFill/>
            </a:ln>
            <a:effectLst/>
          </c:spPr>
          <c:invertIfNegative val="0"/>
          <c:cat>
            <c:numRef>
              <c:f>'Records per publication year'!$D$1:$D$6</c:f>
              <c:numCache>
                <c:formatCode>General</c:formatCode>
                <c:ptCount val="6"/>
                <c:pt idx="0">
                  <c:v>2021</c:v>
                </c:pt>
                <c:pt idx="1">
                  <c:v>2022</c:v>
                </c:pt>
                <c:pt idx="2">
                  <c:v>2023</c:v>
                </c:pt>
                <c:pt idx="3">
                  <c:v>2024</c:v>
                </c:pt>
                <c:pt idx="4">
                  <c:v>2025</c:v>
                </c:pt>
                <c:pt idx="5">
                  <c:v>2026</c:v>
                </c:pt>
              </c:numCache>
            </c:numRef>
          </c:cat>
          <c:val>
            <c:numRef>
              <c:f>'Records per publication year'!$E$1:$E$6</c:f>
              <c:numCache>
                <c:formatCode>General</c:formatCode>
                <c:ptCount val="6"/>
                <c:pt idx="0">
                  <c:v>11</c:v>
                </c:pt>
                <c:pt idx="1">
                  <c:v>24</c:v>
                </c:pt>
                <c:pt idx="2">
                  <c:v>24</c:v>
                </c:pt>
                <c:pt idx="3">
                  <c:v>74</c:v>
                </c:pt>
                <c:pt idx="4">
                  <c:v>139</c:v>
                </c:pt>
                <c:pt idx="5">
                  <c:v>87</c:v>
                </c:pt>
              </c:numCache>
            </c:numRef>
          </c:val>
          <c:extLst>
            <c:ext xmlns:c16="http://schemas.microsoft.com/office/drawing/2014/chart" uri="{C3380CC4-5D6E-409C-BE32-E72D297353CC}">
              <c16:uniqueId val="{00000000-6E90-4DDB-84DC-72BDE38F6536}"/>
            </c:ext>
          </c:extLst>
        </c:ser>
        <c:dLbls>
          <c:showLegendKey val="0"/>
          <c:showVal val="0"/>
          <c:showCatName val="0"/>
          <c:showSerName val="0"/>
          <c:showPercent val="0"/>
          <c:showBubbleSize val="0"/>
        </c:dLbls>
        <c:gapWidth val="219"/>
        <c:overlap val="-27"/>
        <c:axId val="613264272"/>
        <c:axId val="208971120"/>
      </c:barChart>
      <c:catAx>
        <c:axId val="61326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8971120"/>
        <c:crosses val="autoZero"/>
        <c:auto val="1"/>
        <c:lblAlgn val="ctr"/>
        <c:lblOffset val="100"/>
        <c:noMultiLvlLbl val="0"/>
      </c:catAx>
      <c:valAx>
        <c:axId val="208971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6132642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Selection</a:t>
            </a:r>
            <a:r>
              <a:rPr lang="pt-BR" baseline="0"/>
              <a: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pieChart>
        <c:varyColors val="1"/>
        <c:ser>
          <c:idx val="0"/>
          <c:order val="0"/>
          <c:dPt>
            <c:idx val="0"/>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1-6DCD-4B09-89F0-A58DB4064311}"/>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6DCD-4B09-89F0-A58DB4064311}"/>
              </c:ext>
            </c:extLst>
          </c:dPt>
          <c:dPt>
            <c:idx val="2"/>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5-6DCD-4B09-89F0-A58DB40643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'Selection status'!$A$1:$A$3</c:f>
              <c:strCache>
                <c:ptCount val="3"/>
                <c:pt idx="0">
                  <c:v>Duplicated</c:v>
                </c:pt>
                <c:pt idx="1">
                  <c:v>Accepted</c:v>
                </c:pt>
                <c:pt idx="2">
                  <c:v>Rejected</c:v>
                </c:pt>
              </c:strCache>
            </c:strRef>
          </c:cat>
          <c:val>
            <c:numRef>
              <c:f>'Selection status'!$B$1:$B$3</c:f>
              <c:numCache>
                <c:formatCode>General</c:formatCode>
                <c:ptCount val="3"/>
                <c:pt idx="0">
                  <c:v>19</c:v>
                </c:pt>
                <c:pt idx="1">
                  <c:v>80</c:v>
                </c:pt>
                <c:pt idx="2">
                  <c:v>260</c:v>
                </c:pt>
              </c:numCache>
            </c:numRef>
          </c:val>
          <c:extLst>
            <c:ext xmlns:c16="http://schemas.microsoft.com/office/drawing/2014/chart" uri="{C3380CC4-5D6E-409C-BE32-E72D297353CC}">
              <c16:uniqueId val="{00000000-7570-4FC4-AA3E-A9534DAB0EC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16</xdr:col>
      <xdr:colOff>0</xdr:colOff>
      <xdr:row>16</xdr:row>
      <xdr:rowOff>0</xdr:rowOff>
    </xdr:to>
    <xdr:graphicFrame macro="">
      <xdr:nvGraphicFramePr>
        <xdr:cNvPr id="3" name="Gráfico 2">
          <a:extLst>
            <a:ext uri="{FF2B5EF4-FFF2-40B4-BE49-F238E27FC236}">
              <a16:creationId xmlns:a16="http://schemas.microsoft.com/office/drawing/2014/main" id="{257B61F5-47C8-520E-91B8-70D54B372E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1</xdr:row>
      <xdr:rowOff>0</xdr:rowOff>
    </xdr:from>
    <xdr:to>
      <xdr:col>14</xdr:col>
      <xdr:colOff>0</xdr:colOff>
      <xdr:row>16</xdr:row>
      <xdr:rowOff>0</xdr:rowOff>
    </xdr:to>
    <xdr:graphicFrame macro="">
      <xdr:nvGraphicFramePr>
        <xdr:cNvPr id="2" name="Gráfico 1">
          <a:extLst>
            <a:ext uri="{FF2B5EF4-FFF2-40B4-BE49-F238E27FC236}">
              <a16:creationId xmlns:a16="http://schemas.microsoft.com/office/drawing/2014/main" id="{1A675FE5-96A7-2990-55FB-018EAAC7AA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1</xdr:row>
      <xdr:rowOff>0</xdr:rowOff>
    </xdr:from>
    <xdr:to>
      <xdr:col>14</xdr:col>
      <xdr:colOff>0</xdr:colOff>
      <xdr:row>16</xdr:row>
      <xdr:rowOff>0</xdr:rowOff>
    </xdr:to>
    <xdr:graphicFrame macro="">
      <xdr:nvGraphicFramePr>
        <xdr:cNvPr id="3" name="Gráfico 2">
          <a:extLst>
            <a:ext uri="{FF2B5EF4-FFF2-40B4-BE49-F238E27FC236}">
              <a16:creationId xmlns:a16="http://schemas.microsoft.com/office/drawing/2014/main" id="{EF69B385-2365-012E-C28C-6DF1C32191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xdr:row>
      <xdr:rowOff>0</xdr:rowOff>
    </xdr:from>
    <xdr:to>
      <xdr:col>11</xdr:col>
      <xdr:colOff>0</xdr:colOff>
      <xdr:row>16</xdr:row>
      <xdr:rowOff>0</xdr:rowOff>
    </xdr:to>
    <xdr:graphicFrame macro="">
      <xdr:nvGraphicFramePr>
        <xdr:cNvPr id="2" name="Gráfico 1">
          <a:extLst>
            <a:ext uri="{FF2B5EF4-FFF2-40B4-BE49-F238E27FC236}">
              <a16:creationId xmlns:a16="http://schemas.microsoft.com/office/drawing/2014/main" id="{0FA3AE54-967F-BAA1-A119-9062C73211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012A2268-ADC3-40E4-B569-B1BF662FB481}" autoFormatId="16" applyNumberFormats="0" applyBorderFormats="0" applyFontFormats="0" applyPatternFormats="0" applyAlignmentFormats="0" applyWidthHeightFormats="0">
  <queryTableRefresh nextId="27">
    <queryTableFields count="26">
      <queryTableField id="1" name="bibtex_key" tableColumnId="1"/>
      <queryTableField id="2" name="title" tableColumnId="2"/>
      <queryTableField id="3" name="author" tableColumnId="3"/>
      <queryTableField id="4" name="journal" tableColumnId="4"/>
      <queryTableField id="5" name="year" tableColumnId="5"/>
      <queryTableField id="6" name="source" tableColumnId="6"/>
      <queryTableField id="7" name="pages" tableColumnId="7"/>
      <queryTableField id="8" name="volume" tableColumnId="8"/>
      <queryTableField id="9" name="abstract" tableColumnId="9"/>
      <queryTableField id="10" name="document_type" tableColumnId="10"/>
      <queryTableField id="11" name="doi" tableColumnId="11"/>
      <queryTableField id="12" name="url" tableColumnId="12"/>
      <queryTableField id="13" name="affiliation" tableColumnId="13"/>
      <queryTableField id="14" name="author_keywords" tableColumnId="14"/>
      <queryTableField id="15" name="keywords" tableColumnId="15"/>
      <queryTableField id="16" name="publisher" tableColumnId="16"/>
      <queryTableField id="17" name="issn" tableColumnId="17"/>
      <queryTableField id="18" name="language" tableColumnId="18"/>
      <queryTableField id="19" name="note" tableColumnId="19"/>
      <queryTableField id="20" name="selection_criteria" tableColumnId="20"/>
      <queryTableField id="21" name="created_at" tableColumnId="21"/>
      <queryTableField id="22" name="updated_at" tableColumnId="22"/>
      <queryTableField id="23" name="created_by" tableColumnId="23"/>
      <queryTableField id="24" name="updated_by" tableColumnId="24"/>
      <queryTableField id="25" name="status" tableColumnId="25"/>
      <queryTableField id="26" name="comments" tableColumnId="2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A34295-FBB6-4F99-8CF6-A2666EB9E09D}" name="Articles" displayName="Articles" ref="A1:Z360" tableType="queryTable" totalsRowShown="0">
  <autoFilter ref="A1:Z360" xr:uid="{00A34295-FBB6-4F99-8CF6-A2666EB9E09D}"/>
  <tableColumns count="26">
    <tableColumn id="1" xr3:uid="{04B62D87-0DD4-4D71-A115-6E7D31D2E7A0}" uniqueName="1" name="bibtex_key" queryTableFieldId="1" dataDxfId="22"/>
    <tableColumn id="2" xr3:uid="{45AA3C72-C8AB-4593-8521-40D11190D889}" uniqueName="2" name="title" queryTableFieldId="2" dataDxfId="21"/>
    <tableColumn id="3" xr3:uid="{C7CBA1CC-9D58-48DE-BFE6-FD0821B401FB}" uniqueName="3" name="author" queryTableFieldId="3" dataDxfId="20"/>
    <tableColumn id="4" xr3:uid="{A0D1BE13-D146-4DD3-A67E-40EDE438324D}" uniqueName="4" name="journal" queryTableFieldId="4" dataDxfId="19"/>
    <tableColumn id="5" xr3:uid="{B05E43BC-4458-481C-9DD4-08083F0E371D}" uniqueName="5" name="year" queryTableFieldId="5"/>
    <tableColumn id="6" xr3:uid="{B8FD953A-7EE5-4599-B7FC-F460FCF5D603}" uniqueName="6" name="source" queryTableFieldId="6" dataDxfId="18"/>
    <tableColumn id="7" xr3:uid="{32E0BB24-36DF-48A0-8187-C3658EEC55BE}" uniqueName="7" name="pages" queryTableFieldId="7" dataDxfId="17"/>
    <tableColumn id="8" xr3:uid="{838C8872-FEDD-4F3A-936D-33766A48829E}" uniqueName="8" name="volume" queryTableFieldId="8" dataDxfId="16"/>
    <tableColumn id="9" xr3:uid="{F7B76B46-3FE3-4BAB-89FB-8A423FCE64C0}" uniqueName="9" name="abstract" queryTableFieldId="9" dataDxfId="15"/>
    <tableColumn id="10" xr3:uid="{41A0C23C-0EB9-4F13-B264-4A134A03761D}" uniqueName="10" name="document_type" queryTableFieldId="10" dataDxfId="14"/>
    <tableColumn id="11" xr3:uid="{4B73BD5F-04F0-4E69-B013-B2CEFA84108E}" uniqueName="11" name="doi" queryTableFieldId="11" dataDxfId="13"/>
    <tableColumn id="12" xr3:uid="{A7106DDF-D26B-4163-A886-B5C36E574BA6}" uniqueName="12" name="url" queryTableFieldId="12" dataDxfId="12"/>
    <tableColumn id="13" xr3:uid="{2D98CA33-6C66-45BC-8F3D-38C7A77A3449}" uniqueName="13" name="affiliation" queryTableFieldId="13" dataDxfId="11"/>
    <tableColumn id="14" xr3:uid="{9627AFFA-66CB-47DB-A26E-90A9F5D4FB46}" uniqueName="14" name="author_keywords" queryTableFieldId="14" dataDxfId="10"/>
    <tableColumn id="15" xr3:uid="{D18DD99F-2811-47A9-A690-B4BD6A23D062}" uniqueName="15" name="keywords" queryTableFieldId="15" dataDxfId="9"/>
    <tableColumn id="16" xr3:uid="{DF587834-5BF5-4C7E-9F1D-978800C14E59}" uniqueName="16" name="publisher" queryTableFieldId="16" dataDxfId="8"/>
    <tableColumn id="17" xr3:uid="{916F8B18-87D8-4D66-BD6C-2A2B1ED2CC09}" uniqueName="17" name="issn" queryTableFieldId="17" dataDxfId="7"/>
    <tableColumn id="18" xr3:uid="{C7A1AFAA-D279-4A57-AAE7-E9BE9D2E06CE}" uniqueName="18" name="language" queryTableFieldId="18" dataDxfId="6"/>
    <tableColumn id="19" xr3:uid="{FA4CB9F6-C394-40DA-B9A9-0657E96783C5}" uniqueName="19" name="note" queryTableFieldId="19" dataDxfId="5"/>
    <tableColumn id="20" xr3:uid="{7E98EE17-5CD1-4A42-8A5E-A45D48972611}" uniqueName="20" name="selection_criteria" queryTableFieldId="20" dataDxfId="4"/>
    <tableColumn id="21" xr3:uid="{B04407A2-20DB-40A6-8174-2D237C33F1DD}" uniqueName="21" name="created_at" queryTableFieldId="21"/>
    <tableColumn id="22" xr3:uid="{6839E801-1912-428C-8702-29B0272416B0}" uniqueName="22" name="updated_at" queryTableFieldId="22"/>
    <tableColumn id="23" xr3:uid="{5A205DF5-5731-4926-BF24-D5CA72AB7101}" uniqueName="23" name="created_by" queryTableFieldId="23" dataDxfId="3"/>
    <tableColumn id="24" xr3:uid="{7446C84F-47DF-4A1B-8AD4-9BFB6CEFC16F}" uniqueName="24" name="updated_by" queryTableFieldId="24" dataDxfId="2"/>
    <tableColumn id="25" xr3:uid="{AE77422D-F2BA-435B-9830-0C977E5DC411}" uniqueName="25" name="status" queryTableFieldId="25" dataDxfId="1"/>
    <tableColumn id="26" xr3:uid="{B9434A43-7314-48A7-B3C7-E253BC135C8F}" uniqueName="26" name="comments" queryTableFieldId="2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3CA18-B3D3-437F-BEE0-C19FA29052AA}">
  <dimension ref="A1:A20"/>
  <sheetViews>
    <sheetView workbookViewId="0"/>
  </sheetViews>
  <sheetFormatPr defaultRowHeight="15" x14ac:dyDescent="0.25"/>
  <sheetData>
    <row r="1" spans="1:1" x14ac:dyDescent="0.25">
      <c r="A1" t="str" cm="1">
        <f t="array" ref="A1:A20">_xlfn._xlws.FILTER(Articles[title],Articles[selection_criteria]='Articles per selection criteria'!B3)</f>
        <v>Mineração de Dados Educacionais na Predição da Evasão Estudantil: Tendências, Oportunidades e Desafios</v>
      </c>
    </row>
    <row r="2" spans="1:1" x14ac:dyDescent="0.25">
      <c r="A2" t="str">
        <v>Learning Analytics em Cursos de Introdução à Programação: Uma Mostra da Universidade Federal do Amazonas</v>
      </c>
    </row>
    <row r="3" spans="1:1" x14ac:dyDescent="0.25">
      <c r="A3" t="str">
        <v>Virtual chemical laboratories: A systematic literature review of research, technologies and instructional design</v>
      </c>
    </row>
    <row r="4" spans="1:1" x14ac:dyDescent="0.25">
      <c r="A4" t="str">
        <v>A systematic review of interactive tools and methodologies for enhancing database normalization learning and teaching</v>
      </c>
    </row>
    <row r="5" spans="1:1" x14ac:dyDescent="0.25">
      <c r="A5" t="str">
        <v>Artificial intelligence based early warnings and intervention models for student's success in institutions of higher learning: A review</v>
      </c>
    </row>
    <row r="6" spans="1:1" x14ac:dyDescent="0.25">
      <c r="A6" t="str">
        <v>AI-based learning style detection in adaptive learning systems: a systematic literature review</v>
      </c>
    </row>
    <row r="7" spans="1:1" x14ac:dyDescent="0.25">
      <c r="A7" t="str">
        <v>Toward Artificial Intelligence-Human Paired Programming: A Review of the Educational Applications and Research on Artificial Intelligence Code-Generation Tools</v>
      </c>
    </row>
    <row r="8" spans="1:1" x14ac:dyDescent="0.25">
      <c r="A8" t="str">
        <v>The role of GPT in promoting inclusive higher education for people with various learning disabilities: a review</v>
      </c>
    </row>
    <row r="9" spans="1:1" x14ac:dyDescent="0.25">
      <c r="A9" t="str">
        <v>The importance of efficiency analysis for improving public services: Editorial to the special issue on “Efficiency and productivity analysis of public services in practice”</v>
      </c>
    </row>
    <row r="10" spans="1:1" x14ac:dyDescent="0.25">
      <c r="A10" t="str">
        <v>A SYSTEMATIC REVIEW: EMPLOYING AI IN ADAPTIVE LEARNING RECOMMENDATION SYSTEM FOR VOCATIONAL EDUCATION</v>
      </c>
    </row>
    <row r="11" spans="1:1" x14ac:dyDescent="0.25">
      <c r="A11" t="str">
        <v>Enhancing Scholarship Allocation Through Machine Learning: A Review of Models and Techniques</v>
      </c>
    </row>
    <row r="12" spans="1:1" x14ac:dyDescent="0.25">
      <c r="A12" t="str">
        <v>Text-based Question Difficulty Prediction: A Systematic Review of Automatic Approaches</v>
      </c>
    </row>
    <row r="13" spans="1:1" x14ac:dyDescent="0.25">
      <c r="A13" t="str">
        <v>Reflecting Upon the Unintended Consequences of Personal Informatics Systems: A Systematic Review of Empirical Studies</v>
      </c>
    </row>
    <row r="14" spans="1:1" x14ac:dyDescent="0.25">
      <c r="A14" t="str">
        <v>Transforming EFL Teaching with AI: A Systematic Review of Empirical Studies</v>
      </c>
    </row>
    <row r="15" spans="1:1" x14ac:dyDescent="0.25">
      <c r="A15" t="str">
        <v>Survey of Computerized Adaptive Testing: A Machine Learning Perspective</v>
      </c>
    </row>
    <row r="16" spans="1:1" x14ac:dyDescent="0.25">
      <c r="A16" t="str">
        <v>Emerging Technologies in Immersive Learning: A Systematic Review of Trends, Challenges, and Opportunities</v>
      </c>
    </row>
    <row r="17" spans="1:1" x14ac:dyDescent="0.25">
      <c r="A17" t="str">
        <v>AI-Assisted Theorem Discovery: Revolutionizing Mathematical Exploration</v>
      </c>
    </row>
    <row r="18" spans="1:1" x14ac:dyDescent="0.25">
      <c r="A18" t="str">
        <v>Artificial intelligence in education research during 2013–2023: A review based on bibliometric analysis</v>
      </c>
    </row>
    <row r="19" spans="1:1" x14ac:dyDescent="0.25">
      <c r="A19" t="str">
        <v>Editorial for EAIT issue 11, 2023</v>
      </c>
    </row>
    <row r="20" spans="1:1" x14ac:dyDescent="0.25">
      <c r="A20" t="str">
        <v>Distractor Generation in Multiple-Choice Tasks: A Survey of Methods, Datasets, and Evaluation</v>
      </c>
    </row>
  </sheetData>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04F63-2962-4B69-9D17-53166205651B}">
  <dimension ref="A1:G6"/>
  <sheetViews>
    <sheetView workbookViewId="0"/>
  </sheetViews>
  <sheetFormatPr defaultRowHeight="15" x14ac:dyDescent="0.25"/>
  <sheetData>
    <row r="1" spans="1:7" x14ac:dyDescent="0.25">
      <c r="A1" t="s">
        <v>3019</v>
      </c>
      <c r="B1" t="str" cm="1">
        <f t="array" ref="B1:B6">_xlfn.UNIQUE(Articles[selection_criteria])</f>
        <v>Duplicate records across repositories</v>
      </c>
      <c r="C1">
        <f>COUNTIF(Articles[selection_criteria],B1)</f>
        <v>19</v>
      </c>
      <c r="E1" t="str" cm="1">
        <f t="array" ref="E1:G6">_xlfn._xlws.SORT(A1:C6,1)</f>
        <v>EC1</v>
      </c>
      <c r="F1" t="str">
        <v>Duplicate records across repositories</v>
      </c>
      <c r="G1">
        <v>19</v>
      </c>
    </row>
    <row r="2" spans="1:7" x14ac:dyDescent="0.25">
      <c r="A2" t="s">
        <v>3020</v>
      </c>
      <c r="B2" t="str">
        <v>Studies focused on predicting student academic health in higher education</v>
      </c>
      <c r="C2">
        <f>COUNTIF(Articles[selection_criteria],B2)</f>
        <v>80</v>
      </c>
      <c r="E2" t="str">
        <v>EC2</v>
      </c>
      <c r="F2" t="str">
        <v>Non-primary research (literature reviews) or non-peer-reviewed publications</v>
      </c>
      <c r="G2">
        <v>20</v>
      </c>
    </row>
    <row r="3" spans="1:7" x14ac:dyDescent="0.25">
      <c r="A3" t="s">
        <v>3021</v>
      </c>
      <c r="B3" t="str">
        <v>Non-primary research (literature reviews) or non-peer-reviewed publications</v>
      </c>
      <c r="C3">
        <f>COUNTIF(Articles[selection_criteria],B3)</f>
        <v>20</v>
      </c>
      <c r="E3" t="str">
        <v>EC3</v>
      </c>
      <c r="F3" t="str">
        <v>Studies focused on contexts other than higher education</v>
      </c>
      <c r="G3">
        <v>67</v>
      </c>
    </row>
    <row r="4" spans="1:7" x14ac:dyDescent="0.25">
      <c r="A4" t="s">
        <v>3022</v>
      </c>
      <c r="B4" t="str">
        <v>Studies focused on contexts other than higher education</v>
      </c>
      <c r="C4">
        <f>COUNTIF(Articles[selection_criteria],B4)</f>
        <v>67</v>
      </c>
      <c r="E4" t="str">
        <v>EC4</v>
      </c>
      <c r="F4" t="str">
        <v>Studies where student academic health prediction is not the primary objective or outcome</v>
      </c>
      <c r="G4">
        <v>139</v>
      </c>
    </row>
    <row r="5" spans="1:7" x14ac:dyDescent="0.25">
      <c r="A5" t="s">
        <v>3023</v>
      </c>
      <c r="B5" t="str">
        <v>Studies where student academic health prediction is not the primary objective or outcome</v>
      </c>
      <c r="C5">
        <f>COUNTIF(Articles[selection_criteria],B5)</f>
        <v>139</v>
      </c>
      <c r="E5" t="str">
        <v>EC5</v>
      </c>
      <c r="F5" t="str">
        <v>Studies where student academic health assessment is conducted exclusively through manual or non-automated methods</v>
      </c>
      <c r="G5">
        <v>34</v>
      </c>
    </row>
    <row r="6" spans="1:7" x14ac:dyDescent="0.25">
      <c r="A6" t="s">
        <v>3024</v>
      </c>
      <c r="B6" t="str">
        <v>Studies where student academic health assessment is conducted exclusively through manual or non-automated methods</v>
      </c>
      <c r="C6">
        <f>COUNTIF(Articles[selection_criteria],B6)</f>
        <v>34</v>
      </c>
      <c r="E6" t="str">
        <v>IC1</v>
      </c>
      <c r="F6" t="str">
        <v>Studies focused on predicting student academic health in higher education</v>
      </c>
      <c r="G6">
        <v>80</v>
      </c>
    </row>
  </sheetData>
  <pageMargins left="0.511811024" right="0.511811024" top="0.78740157499999996" bottom="0.78740157499999996" header="0.31496062000000002" footer="0.31496062000000002"/>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FB175-96C6-40DC-A568-9A5DDC7E9E0C}">
  <dimension ref="A1:E6"/>
  <sheetViews>
    <sheetView workbookViewId="0"/>
  </sheetViews>
  <sheetFormatPr defaultRowHeight="15" x14ac:dyDescent="0.25"/>
  <sheetData>
    <row r="1" spans="1:5" x14ac:dyDescent="0.25">
      <c r="A1" t="str" cm="1">
        <f t="array" ref="A1:A6">_xlfn.UNIQUE(Articles[source])</f>
        <v>Scopus</v>
      </c>
      <c r="B1">
        <f>COUNTIF(Articles[source],A1)</f>
        <v>305</v>
      </c>
      <c r="D1" t="str" cm="1">
        <f t="array" ref="D1:E6">_xlfn._xlws.SORT(A1:B6,2,-1)</f>
        <v>Scopus</v>
      </c>
      <c r="E1">
        <v>305</v>
      </c>
    </row>
    <row r="2" spans="1:5" x14ac:dyDescent="0.25">
      <c r="A2" t="str">
        <v>SBC OpenLib</v>
      </c>
      <c r="B2">
        <f>COUNTIF(Articles[source],A2)</f>
        <v>18</v>
      </c>
      <c r="D2" t="str">
        <v>SBC OpenLib</v>
      </c>
      <c r="E2">
        <v>18</v>
      </c>
    </row>
    <row r="3" spans="1:5" x14ac:dyDescent="0.25">
      <c r="A3" t="str">
        <v>IEEE Digital Library</v>
      </c>
      <c r="B3">
        <f>COUNTIF(Articles[source],A3)</f>
        <v>16</v>
      </c>
      <c r="D3" t="str">
        <v>IEEE Digital Library</v>
      </c>
      <c r="E3">
        <v>16</v>
      </c>
    </row>
    <row r="4" spans="1:5" x14ac:dyDescent="0.25">
      <c r="A4" t="str">
        <v>ACM Digital Library</v>
      </c>
      <c r="B4">
        <f>COUNTIF(Articles[source],A4)</f>
        <v>5</v>
      </c>
      <c r="D4" t="str">
        <v>ISI Web of Science</v>
      </c>
      <c r="E4">
        <v>8</v>
      </c>
    </row>
    <row r="5" spans="1:5" x14ac:dyDescent="0.25">
      <c r="A5" t="str">
        <v>Springer Link</v>
      </c>
      <c r="B5">
        <f>COUNTIF(Articles[source],A5)</f>
        <v>7</v>
      </c>
      <c r="D5" t="str">
        <v>Springer Link</v>
      </c>
      <c r="E5">
        <v>7</v>
      </c>
    </row>
    <row r="6" spans="1:5" x14ac:dyDescent="0.25">
      <c r="A6" t="str">
        <v>ISI Web of Science</v>
      </c>
      <c r="B6">
        <f>COUNTIF(Articles[source],A6)</f>
        <v>8</v>
      </c>
      <c r="D6" t="str">
        <v>ACM Digital Library</v>
      </c>
      <c r="E6">
        <v>5</v>
      </c>
    </row>
  </sheetData>
  <pageMargins left="0.511811024" right="0.511811024" top="0.78740157499999996" bottom="0.78740157499999996" header="0.31496062000000002" footer="0.31496062000000002"/>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45DF5-1ABC-40BC-AD48-549FBFD653AA}">
  <dimension ref="A1:E6"/>
  <sheetViews>
    <sheetView workbookViewId="0"/>
  </sheetViews>
  <sheetFormatPr defaultRowHeight="15" x14ac:dyDescent="0.25"/>
  <sheetData>
    <row r="1" spans="1:5" x14ac:dyDescent="0.25">
      <c r="A1" cm="1">
        <f t="array" ref="A1:A6">_xlfn.UNIQUE(Articles[year])</f>
        <v>2026</v>
      </c>
      <c r="B1">
        <f>COUNTIF(Articles[year],A1)</f>
        <v>87</v>
      </c>
      <c r="D1" cm="1">
        <f t="array" ref="D1:E6">_xlfn._xlws.SORT(A1:B6, 1)</f>
        <v>2021</v>
      </c>
      <c r="E1">
        <v>11</v>
      </c>
    </row>
    <row r="2" spans="1:5" x14ac:dyDescent="0.25">
      <c r="A2">
        <v>2024</v>
      </c>
      <c r="B2">
        <f>COUNTIF(Articles[year],A2)</f>
        <v>74</v>
      </c>
      <c r="D2">
        <v>2022</v>
      </c>
      <c r="E2">
        <v>24</v>
      </c>
    </row>
    <row r="3" spans="1:5" x14ac:dyDescent="0.25">
      <c r="A3">
        <v>2022</v>
      </c>
      <c r="B3">
        <f>COUNTIF(Articles[year],A3)</f>
        <v>24</v>
      </c>
      <c r="D3">
        <v>2023</v>
      </c>
      <c r="E3">
        <v>24</v>
      </c>
    </row>
    <row r="4" spans="1:5" x14ac:dyDescent="0.25">
      <c r="A4">
        <v>2025</v>
      </c>
      <c r="B4">
        <f>COUNTIF(Articles[year],A4)</f>
        <v>139</v>
      </c>
      <c r="D4">
        <v>2024</v>
      </c>
      <c r="E4">
        <v>74</v>
      </c>
    </row>
    <row r="5" spans="1:5" x14ac:dyDescent="0.25">
      <c r="A5">
        <v>2021</v>
      </c>
      <c r="B5">
        <f>COUNTIF(Articles[year],A5)</f>
        <v>11</v>
      </c>
      <c r="D5">
        <v>2025</v>
      </c>
      <c r="E5">
        <v>139</v>
      </c>
    </row>
    <row r="6" spans="1:5" x14ac:dyDescent="0.25">
      <c r="A6">
        <v>2023</v>
      </c>
      <c r="B6">
        <f>COUNTIF(Articles[year],A6)</f>
        <v>24</v>
      </c>
      <c r="D6">
        <v>2026</v>
      </c>
      <c r="E6">
        <v>87</v>
      </c>
    </row>
  </sheetData>
  <pageMargins left="0.511811024" right="0.511811024" top="0.78740157499999996" bottom="0.78740157499999996" header="0.31496062000000002" footer="0.31496062000000002"/>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
  <sheetViews>
    <sheetView workbookViewId="0"/>
  </sheetViews>
  <sheetFormatPr defaultRowHeight="15" x14ac:dyDescent="0.25"/>
  <sheetData>
    <row r="1" spans="1:2" x14ac:dyDescent="0.25">
      <c r="A1" t="str" cm="1">
        <f t="array" ref="A1:A3">_xlfn.UNIQUE(Articles[status])</f>
        <v>Duplicated</v>
      </c>
      <c r="B1">
        <f>COUNTIF(Articles[status],'Selection status'!A1)</f>
        <v>19</v>
      </c>
    </row>
    <row r="2" spans="1:2" x14ac:dyDescent="0.25">
      <c r="A2" t="str">
        <v>Accepted</v>
      </c>
      <c r="B2">
        <f>COUNTIF(Articles[status],'Selection status'!A2)</f>
        <v>80</v>
      </c>
    </row>
    <row r="3" spans="1:2" x14ac:dyDescent="0.25">
      <c r="A3" t="str">
        <v>Rejected</v>
      </c>
      <c r="B3">
        <f>COUNTIF(Articles[status],'Selection status'!A3)</f>
        <v>260</v>
      </c>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1C186-407D-419A-8223-2C99DBE691A6}">
  <dimension ref="A1:Z360"/>
  <sheetViews>
    <sheetView tabSelected="1" workbookViewId="0"/>
  </sheetViews>
  <sheetFormatPr defaultRowHeight="15" x14ac:dyDescent="0.25"/>
  <cols>
    <col min="1" max="1" width="13.140625" bestFit="1" customWidth="1"/>
    <col min="2" max="4" width="81.140625" bestFit="1" customWidth="1"/>
    <col min="5" max="5" width="7.140625" bestFit="1" customWidth="1"/>
    <col min="6" max="6" width="18" bestFit="1" customWidth="1"/>
    <col min="7" max="7" width="14.7109375" bestFit="1" customWidth="1"/>
    <col min="8" max="8" width="10.85546875" bestFit="1" customWidth="1"/>
    <col min="9" max="9" width="81.140625" bestFit="1" customWidth="1"/>
    <col min="10" max="10" width="17.42578125" bestFit="1" customWidth="1"/>
    <col min="11" max="11" width="45.42578125" bestFit="1" customWidth="1"/>
    <col min="12" max="12" width="81.140625" bestFit="1" customWidth="1"/>
    <col min="13" max="13" width="12" bestFit="1" customWidth="1"/>
    <col min="14" max="15" width="81.140625" bestFit="1" customWidth="1"/>
    <col min="16" max="16" width="80.5703125" bestFit="1" customWidth="1"/>
    <col min="17" max="17" width="9.85546875" bestFit="1" customWidth="1"/>
    <col min="18" max="18" width="11.28515625" bestFit="1" customWidth="1"/>
    <col min="19" max="20" width="81.140625" bestFit="1" customWidth="1"/>
    <col min="21" max="21" width="12.7109375" bestFit="1" customWidth="1"/>
    <col min="22" max="22" width="13.42578125" bestFit="1" customWidth="1"/>
    <col min="23" max="23" width="13.140625" bestFit="1" customWidth="1"/>
    <col min="24" max="24" width="13.85546875" bestFit="1" customWidth="1"/>
    <col min="25" max="25" width="10.5703125" bestFit="1" customWidth="1"/>
    <col min="26" max="26" width="12.5703125" bestFit="1"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B2" t="s">
        <v>26</v>
      </c>
      <c r="C2" t="s">
        <v>27</v>
      </c>
      <c r="D2" t="s">
        <v>28</v>
      </c>
      <c r="E2">
        <v>2026</v>
      </c>
      <c r="F2" t="s">
        <v>29</v>
      </c>
      <c r="G2" t="s">
        <v>30</v>
      </c>
      <c r="I2" t="s">
        <v>31</v>
      </c>
      <c r="J2" t="s">
        <v>32</v>
      </c>
      <c r="K2" t="s">
        <v>33</v>
      </c>
      <c r="L2" t="s">
        <v>34</v>
      </c>
      <c r="P2" t="s">
        <v>35</v>
      </c>
      <c r="R2" t="s">
        <v>36</v>
      </c>
      <c r="S2" t="s">
        <v>37</v>
      </c>
      <c r="T2" t="s">
        <v>38</v>
      </c>
      <c r="U2">
        <v>46276.581887</v>
      </c>
      <c r="V2">
        <v>46297.577383999997</v>
      </c>
      <c r="Y2" t="s">
        <v>39</v>
      </c>
    </row>
    <row r="3" spans="1:26" x14ac:dyDescent="0.25">
      <c r="B3" t="s">
        <v>40</v>
      </c>
      <c r="C3" t="s">
        <v>41</v>
      </c>
      <c r="E3">
        <v>2024</v>
      </c>
      <c r="F3" t="s">
        <v>42</v>
      </c>
      <c r="G3" t="s">
        <v>43</v>
      </c>
      <c r="I3" t="s">
        <v>31</v>
      </c>
      <c r="K3" t="s">
        <v>44</v>
      </c>
      <c r="L3" t="s">
        <v>45</v>
      </c>
      <c r="P3" t="s">
        <v>46</v>
      </c>
      <c r="Q3" t="s">
        <v>47</v>
      </c>
      <c r="T3" t="s">
        <v>48</v>
      </c>
      <c r="U3">
        <v>46276.549362999998</v>
      </c>
      <c r="V3">
        <v>46297.571886999998</v>
      </c>
      <c r="Y3" t="s">
        <v>49</v>
      </c>
    </row>
    <row r="4" spans="1:26" x14ac:dyDescent="0.25">
      <c r="B4" t="s">
        <v>50</v>
      </c>
      <c r="C4" t="s">
        <v>51</v>
      </c>
      <c r="D4" t="s">
        <v>52</v>
      </c>
      <c r="E4">
        <v>2024</v>
      </c>
      <c r="F4" t="s">
        <v>42</v>
      </c>
      <c r="G4" t="s">
        <v>53</v>
      </c>
      <c r="H4" t="s">
        <v>54</v>
      </c>
      <c r="I4" t="s">
        <v>31</v>
      </c>
      <c r="K4" t="s">
        <v>55</v>
      </c>
      <c r="L4" t="s">
        <v>56</v>
      </c>
      <c r="T4" t="s">
        <v>57</v>
      </c>
      <c r="U4">
        <v>46276.549803000002</v>
      </c>
      <c r="V4">
        <v>46297.584595</v>
      </c>
      <c r="Y4" t="s">
        <v>58</v>
      </c>
    </row>
    <row r="5" spans="1:26" x14ac:dyDescent="0.25">
      <c r="B5" t="s">
        <v>59</v>
      </c>
      <c r="C5" t="s">
        <v>60</v>
      </c>
      <c r="D5" t="s">
        <v>52</v>
      </c>
      <c r="E5">
        <v>2022</v>
      </c>
      <c r="F5" t="s">
        <v>42</v>
      </c>
      <c r="G5" t="s">
        <v>61</v>
      </c>
      <c r="H5" t="s">
        <v>62</v>
      </c>
      <c r="I5" t="s">
        <v>31</v>
      </c>
      <c r="K5" t="s">
        <v>63</v>
      </c>
      <c r="L5" t="s">
        <v>64</v>
      </c>
      <c r="T5" t="s">
        <v>48</v>
      </c>
      <c r="U5">
        <v>46276.531968000003</v>
      </c>
      <c r="V5">
        <v>46297.571932999999</v>
      </c>
      <c r="Y5" t="s">
        <v>49</v>
      </c>
    </row>
    <row r="6" spans="1:26" x14ac:dyDescent="0.25">
      <c r="B6" t="s">
        <v>65</v>
      </c>
      <c r="C6" t="s">
        <v>66</v>
      </c>
      <c r="D6" t="s">
        <v>67</v>
      </c>
      <c r="E6">
        <v>2026</v>
      </c>
      <c r="F6" t="s">
        <v>29</v>
      </c>
      <c r="G6" t="s">
        <v>68</v>
      </c>
      <c r="I6" t="s">
        <v>31</v>
      </c>
      <c r="J6" t="s">
        <v>32</v>
      </c>
      <c r="K6" t="s">
        <v>69</v>
      </c>
      <c r="L6" t="s">
        <v>70</v>
      </c>
      <c r="P6" t="s">
        <v>35</v>
      </c>
      <c r="R6" t="s">
        <v>36</v>
      </c>
      <c r="S6" t="s">
        <v>37</v>
      </c>
      <c r="T6" t="s">
        <v>48</v>
      </c>
      <c r="U6">
        <v>46276.582568999998</v>
      </c>
      <c r="V6">
        <v>46297.572002000001</v>
      </c>
      <c r="Y6" t="s">
        <v>49</v>
      </c>
    </row>
    <row r="7" spans="1:26" x14ac:dyDescent="0.25">
      <c r="B7" t="s">
        <v>71</v>
      </c>
      <c r="C7" t="s">
        <v>72</v>
      </c>
      <c r="D7" t="s">
        <v>73</v>
      </c>
      <c r="E7">
        <v>2026</v>
      </c>
      <c r="F7" t="s">
        <v>29</v>
      </c>
      <c r="G7" t="s">
        <v>74</v>
      </c>
      <c r="I7" t="s">
        <v>31</v>
      </c>
      <c r="J7" t="s">
        <v>32</v>
      </c>
      <c r="K7" t="s">
        <v>75</v>
      </c>
      <c r="L7" t="s">
        <v>76</v>
      </c>
      <c r="P7" t="s">
        <v>35</v>
      </c>
      <c r="R7" t="s">
        <v>36</v>
      </c>
      <c r="S7" t="s">
        <v>37</v>
      </c>
      <c r="T7" t="s">
        <v>48</v>
      </c>
      <c r="U7">
        <v>46276.582454000003</v>
      </c>
      <c r="V7">
        <v>46297.571967999997</v>
      </c>
      <c r="Y7" t="s">
        <v>49</v>
      </c>
    </row>
    <row r="8" spans="1:26" x14ac:dyDescent="0.25">
      <c r="B8" t="s">
        <v>77</v>
      </c>
      <c r="C8" t="s">
        <v>78</v>
      </c>
      <c r="D8" t="s">
        <v>79</v>
      </c>
      <c r="E8">
        <v>2026</v>
      </c>
      <c r="F8" t="s">
        <v>29</v>
      </c>
      <c r="H8" t="s">
        <v>80</v>
      </c>
      <c r="I8" t="s">
        <v>31</v>
      </c>
      <c r="J8" t="s">
        <v>81</v>
      </c>
      <c r="K8" t="s">
        <v>82</v>
      </c>
      <c r="L8" t="s">
        <v>83</v>
      </c>
      <c r="P8" t="s">
        <v>84</v>
      </c>
      <c r="Q8" t="s">
        <v>85</v>
      </c>
      <c r="R8" t="s">
        <v>36</v>
      </c>
      <c r="S8" t="s">
        <v>86</v>
      </c>
      <c r="T8" t="s">
        <v>87</v>
      </c>
      <c r="U8">
        <v>46276.582395999998</v>
      </c>
      <c r="V8">
        <v>46277.866527999999</v>
      </c>
      <c r="Y8" t="s">
        <v>58</v>
      </c>
    </row>
    <row r="9" spans="1:26" x14ac:dyDescent="0.25">
      <c r="B9" t="s">
        <v>88</v>
      </c>
      <c r="C9" t="s">
        <v>89</v>
      </c>
      <c r="D9" t="s">
        <v>90</v>
      </c>
      <c r="E9">
        <v>2026</v>
      </c>
      <c r="F9" t="s">
        <v>29</v>
      </c>
      <c r="G9" t="s">
        <v>91</v>
      </c>
      <c r="I9" t="s">
        <v>31</v>
      </c>
      <c r="J9" t="s">
        <v>32</v>
      </c>
      <c r="K9" t="s">
        <v>92</v>
      </c>
      <c r="L9" t="s">
        <v>93</v>
      </c>
      <c r="P9" t="s">
        <v>35</v>
      </c>
      <c r="R9" t="s">
        <v>36</v>
      </c>
      <c r="S9" t="s">
        <v>37</v>
      </c>
      <c r="T9" t="s">
        <v>94</v>
      </c>
      <c r="U9">
        <v>46276.582512000001</v>
      </c>
      <c r="V9">
        <v>46297.589062999999</v>
      </c>
      <c r="Y9" t="s">
        <v>58</v>
      </c>
    </row>
    <row r="10" spans="1:26" x14ac:dyDescent="0.25">
      <c r="B10" t="s">
        <v>95</v>
      </c>
      <c r="C10" t="s">
        <v>96</v>
      </c>
      <c r="D10" t="s">
        <v>97</v>
      </c>
      <c r="E10">
        <v>2026</v>
      </c>
      <c r="F10" t="s">
        <v>29</v>
      </c>
      <c r="G10" t="s">
        <v>98</v>
      </c>
      <c r="H10" t="s">
        <v>99</v>
      </c>
      <c r="I10" t="s">
        <v>31</v>
      </c>
      <c r="J10" t="s">
        <v>81</v>
      </c>
      <c r="K10" t="s">
        <v>100</v>
      </c>
      <c r="L10" t="s">
        <v>101</v>
      </c>
      <c r="P10" t="s">
        <v>102</v>
      </c>
      <c r="Q10" t="s">
        <v>103</v>
      </c>
      <c r="R10" t="s">
        <v>36</v>
      </c>
      <c r="S10" t="s">
        <v>37</v>
      </c>
      <c r="T10" t="s">
        <v>48</v>
      </c>
      <c r="U10">
        <v>46276.582616</v>
      </c>
      <c r="V10">
        <v>46297.578646000002</v>
      </c>
      <c r="Y10" t="s">
        <v>49</v>
      </c>
    </row>
    <row r="11" spans="1:26" x14ac:dyDescent="0.25">
      <c r="B11" t="s">
        <v>104</v>
      </c>
      <c r="C11" t="s">
        <v>105</v>
      </c>
      <c r="D11" t="s">
        <v>106</v>
      </c>
      <c r="E11">
        <v>2026</v>
      </c>
      <c r="F11" t="s">
        <v>29</v>
      </c>
      <c r="G11" t="s">
        <v>107</v>
      </c>
      <c r="H11" t="s">
        <v>108</v>
      </c>
      <c r="I11" t="s">
        <v>31</v>
      </c>
      <c r="J11" t="s">
        <v>81</v>
      </c>
      <c r="K11" t="s">
        <v>109</v>
      </c>
      <c r="L11" t="s">
        <v>110</v>
      </c>
      <c r="P11" t="s">
        <v>111</v>
      </c>
      <c r="Q11" t="s">
        <v>112</v>
      </c>
      <c r="R11" t="s">
        <v>36</v>
      </c>
      <c r="S11" t="s">
        <v>113</v>
      </c>
      <c r="T11" t="s">
        <v>48</v>
      </c>
      <c r="U11">
        <v>46276.582338</v>
      </c>
      <c r="V11">
        <v>46297.572049000002</v>
      </c>
      <c r="Y11" t="s">
        <v>49</v>
      </c>
    </row>
    <row r="12" spans="1:26" x14ac:dyDescent="0.25">
      <c r="B12" t="s">
        <v>114</v>
      </c>
      <c r="C12" t="s">
        <v>115</v>
      </c>
      <c r="D12" t="s">
        <v>116</v>
      </c>
      <c r="E12">
        <v>2026</v>
      </c>
      <c r="F12" t="s">
        <v>29</v>
      </c>
      <c r="H12" t="s">
        <v>117</v>
      </c>
      <c r="I12" t="s">
        <v>31</v>
      </c>
      <c r="J12" t="s">
        <v>81</v>
      </c>
      <c r="K12" t="s">
        <v>118</v>
      </c>
      <c r="L12" t="s">
        <v>119</v>
      </c>
      <c r="P12" t="s">
        <v>120</v>
      </c>
      <c r="Q12" t="s">
        <v>121</v>
      </c>
      <c r="R12" t="s">
        <v>36</v>
      </c>
      <c r="S12" t="s">
        <v>113</v>
      </c>
      <c r="T12" t="s">
        <v>94</v>
      </c>
      <c r="U12">
        <v>46276.581990999999</v>
      </c>
      <c r="V12">
        <v>46297.589109</v>
      </c>
      <c r="Y12" t="s">
        <v>58</v>
      </c>
    </row>
    <row r="13" spans="1:26" x14ac:dyDescent="0.25">
      <c r="B13" t="s">
        <v>122</v>
      </c>
      <c r="C13" t="s">
        <v>123</v>
      </c>
      <c r="D13" t="s">
        <v>124</v>
      </c>
      <c r="E13">
        <v>2026</v>
      </c>
      <c r="F13" t="s">
        <v>29</v>
      </c>
      <c r="I13" t="s">
        <v>31</v>
      </c>
      <c r="J13" t="s">
        <v>32</v>
      </c>
      <c r="K13" t="s">
        <v>125</v>
      </c>
      <c r="L13" t="s">
        <v>126</v>
      </c>
      <c r="P13" t="s">
        <v>35</v>
      </c>
      <c r="R13" t="s">
        <v>36</v>
      </c>
      <c r="S13" t="s">
        <v>37</v>
      </c>
      <c r="T13" t="s">
        <v>48</v>
      </c>
      <c r="U13">
        <v>46276.582106000002</v>
      </c>
      <c r="V13">
        <v>46297.572082999999</v>
      </c>
      <c r="Y13" t="s">
        <v>49</v>
      </c>
    </row>
    <row r="14" spans="1:26" x14ac:dyDescent="0.25">
      <c r="B14" t="s">
        <v>26</v>
      </c>
      <c r="C14" t="s">
        <v>27</v>
      </c>
      <c r="E14">
        <v>2026</v>
      </c>
      <c r="F14" t="s">
        <v>127</v>
      </c>
      <c r="G14" t="s">
        <v>128</v>
      </c>
      <c r="I14" t="s">
        <v>129</v>
      </c>
      <c r="K14" t="s">
        <v>33</v>
      </c>
      <c r="O14" t="s">
        <v>130</v>
      </c>
      <c r="T14" t="s">
        <v>48</v>
      </c>
      <c r="U14">
        <v>46276.556457999999</v>
      </c>
      <c r="V14">
        <v>46297.572153000001</v>
      </c>
      <c r="Y14" t="s">
        <v>49</v>
      </c>
    </row>
    <row r="15" spans="1:26" x14ac:dyDescent="0.25">
      <c r="B15" t="s">
        <v>131</v>
      </c>
      <c r="C15" t="s">
        <v>132</v>
      </c>
      <c r="E15">
        <v>2025</v>
      </c>
      <c r="F15" t="s">
        <v>42</v>
      </c>
      <c r="G15" t="s">
        <v>133</v>
      </c>
      <c r="I15" t="s">
        <v>31</v>
      </c>
      <c r="K15" t="s">
        <v>134</v>
      </c>
      <c r="L15" t="s">
        <v>135</v>
      </c>
      <c r="P15" t="s">
        <v>46</v>
      </c>
      <c r="Q15" t="s">
        <v>47</v>
      </c>
      <c r="T15" t="s">
        <v>48</v>
      </c>
      <c r="U15">
        <v>46276.550497999997</v>
      </c>
      <c r="V15">
        <v>46297.572117999996</v>
      </c>
      <c r="Y15" t="s">
        <v>49</v>
      </c>
    </row>
    <row r="16" spans="1:26" x14ac:dyDescent="0.25">
      <c r="B16" t="s">
        <v>136</v>
      </c>
      <c r="C16" t="s">
        <v>137</v>
      </c>
      <c r="E16">
        <v>2021</v>
      </c>
      <c r="F16" t="s">
        <v>42</v>
      </c>
      <c r="G16" t="s">
        <v>138</v>
      </c>
      <c r="I16" t="s">
        <v>31</v>
      </c>
      <c r="K16" t="s">
        <v>139</v>
      </c>
      <c r="L16" t="s">
        <v>140</v>
      </c>
      <c r="P16" t="s">
        <v>46</v>
      </c>
      <c r="Q16" t="s">
        <v>47</v>
      </c>
      <c r="T16" t="s">
        <v>94</v>
      </c>
      <c r="U16">
        <v>46276.551134000001</v>
      </c>
      <c r="V16">
        <v>46297.589155000001</v>
      </c>
      <c r="Y16" t="s">
        <v>58</v>
      </c>
    </row>
    <row r="17" spans="2:25" x14ac:dyDescent="0.25">
      <c r="B17" t="s">
        <v>141</v>
      </c>
      <c r="C17" t="s">
        <v>142</v>
      </c>
      <c r="E17">
        <v>2022</v>
      </c>
      <c r="F17" t="s">
        <v>42</v>
      </c>
      <c r="G17" t="s">
        <v>143</v>
      </c>
      <c r="I17" t="s">
        <v>31</v>
      </c>
      <c r="K17" t="s">
        <v>144</v>
      </c>
      <c r="L17" t="s">
        <v>145</v>
      </c>
      <c r="P17" t="s">
        <v>46</v>
      </c>
      <c r="Q17" t="s">
        <v>146</v>
      </c>
      <c r="T17" t="s">
        <v>48</v>
      </c>
      <c r="U17">
        <v>46276.550219999997</v>
      </c>
      <c r="V17">
        <v>46297.572222000003</v>
      </c>
      <c r="Y17" t="s">
        <v>49</v>
      </c>
    </row>
    <row r="18" spans="2:25" x14ac:dyDescent="0.25">
      <c r="B18" t="s">
        <v>147</v>
      </c>
      <c r="C18" t="s">
        <v>148</v>
      </c>
      <c r="E18">
        <v>2024</v>
      </c>
      <c r="F18" t="s">
        <v>42</v>
      </c>
      <c r="G18" t="s">
        <v>149</v>
      </c>
      <c r="I18" t="s">
        <v>31</v>
      </c>
      <c r="K18" t="s">
        <v>150</v>
      </c>
      <c r="L18" t="s">
        <v>151</v>
      </c>
      <c r="P18" t="s">
        <v>46</v>
      </c>
      <c r="Q18" t="s">
        <v>146</v>
      </c>
      <c r="T18" t="s">
        <v>48</v>
      </c>
      <c r="U18">
        <v>46276.550880000003</v>
      </c>
      <c r="V18">
        <v>46297.572187999998</v>
      </c>
      <c r="Y18" t="s">
        <v>49</v>
      </c>
    </row>
    <row r="19" spans="2:25" x14ac:dyDescent="0.25">
      <c r="B19" t="s">
        <v>152</v>
      </c>
      <c r="C19" t="s">
        <v>153</v>
      </c>
      <c r="D19" t="s">
        <v>52</v>
      </c>
      <c r="E19">
        <v>2023</v>
      </c>
      <c r="F19" t="s">
        <v>42</v>
      </c>
      <c r="G19" t="s">
        <v>154</v>
      </c>
      <c r="H19" t="s">
        <v>155</v>
      </c>
      <c r="I19" t="s">
        <v>31</v>
      </c>
      <c r="K19" t="s">
        <v>156</v>
      </c>
      <c r="L19" t="s">
        <v>157</v>
      </c>
      <c r="T19" t="s">
        <v>57</v>
      </c>
      <c r="U19">
        <v>46276.548981</v>
      </c>
      <c r="V19">
        <v>46297.584711000003</v>
      </c>
      <c r="Y19" t="s">
        <v>58</v>
      </c>
    </row>
    <row r="20" spans="2:25" x14ac:dyDescent="0.25">
      <c r="B20" t="s">
        <v>158</v>
      </c>
      <c r="C20" t="s">
        <v>159</v>
      </c>
      <c r="D20" t="s">
        <v>52</v>
      </c>
      <c r="E20">
        <v>2024</v>
      </c>
      <c r="F20" t="s">
        <v>42</v>
      </c>
      <c r="G20" t="s">
        <v>160</v>
      </c>
      <c r="H20" t="s">
        <v>54</v>
      </c>
      <c r="I20" t="s">
        <v>31</v>
      </c>
      <c r="K20" t="s">
        <v>161</v>
      </c>
      <c r="L20" t="s">
        <v>162</v>
      </c>
      <c r="T20" t="s">
        <v>48</v>
      </c>
      <c r="U20">
        <v>46276.548610999998</v>
      </c>
      <c r="V20">
        <v>46297.572257</v>
      </c>
      <c r="Y20" t="s">
        <v>49</v>
      </c>
    </row>
    <row r="21" spans="2:25" x14ac:dyDescent="0.25">
      <c r="B21" t="s">
        <v>163</v>
      </c>
      <c r="C21" t="s">
        <v>164</v>
      </c>
      <c r="E21">
        <v>2025</v>
      </c>
      <c r="F21" t="s">
        <v>42</v>
      </c>
      <c r="G21" t="s">
        <v>165</v>
      </c>
      <c r="I21" t="s">
        <v>31</v>
      </c>
      <c r="K21" t="s">
        <v>166</v>
      </c>
      <c r="L21" t="s">
        <v>167</v>
      </c>
      <c r="P21" t="s">
        <v>46</v>
      </c>
      <c r="Q21" t="s">
        <v>47</v>
      </c>
      <c r="T21" t="s">
        <v>94</v>
      </c>
      <c r="U21">
        <v>46276.533183</v>
      </c>
      <c r="V21">
        <v>46297.589212999999</v>
      </c>
      <c r="Y21" t="s">
        <v>58</v>
      </c>
    </row>
    <row r="22" spans="2:25" x14ac:dyDescent="0.25">
      <c r="B22" t="s">
        <v>168</v>
      </c>
      <c r="C22" t="s">
        <v>169</v>
      </c>
      <c r="E22">
        <v>2026</v>
      </c>
      <c r="F22" t="s">
        <v>42</v>
      </c>
      <c r="G22" t="s">
        <v>170</v>
      </c>
      <c r="I22" t="s">
        <v>31</v>
      </c>
      <c r="K22" t="s">
        <v>171</v>
      </c>
      <c r="L22" t="s">
        <v>172</v>
      </c>
      <c r="P22" t="s">
        <v>46</v>
      </c>
      <c r="Q22" t="s">
        <v>146</v>
      </c>
      <c r="T22" t="s">
        <v>94</v>
      </c>
      <c r="U22">
        <v>46276.532882</v>
      </c>
      <c r="V22">
        <v>46297.589259</v>
      </c>
      <c r="Y22" t="s">
        <v>58</v>
      </c>
    </row>
    <row r="23" spans="2:25" x14ac:dyDescent="0.25">
      <c r="B23" t="s">
        <v>173</v>
      </c>
      <c r="C23" t="s">
        <v>174</v>
      </c>
      <c r="E23">
        <v>2023</v>
      </c>
      <c r="F23" t="s">
        <v>42</v>
      </c>
      <c r="G23" t="s">
        <v>175</v>
      </c>
      <c r="I23" t="s">
        <v>31</v>
      </c>
      <c r="K23" t="s">
        <v>176</v>
      </c>
      <c r="L23" t="s">
        <v>177</v>
      </c>
      <c r="P23" t="s">
        <v>46</v>
      </c>
      <c r="Q23" t="s">
        <v>47</v>
      </c>
      <c r="T23" t="s">
        <v>48</v>
      </c>
      <c r="U23">
        <v>46276.532431</v>
      </c>
      <c r="V23">
        <v>46297.572396000003</v>
      </c>
      <c r="Y23" t="s">
        <v>49</v>
      </c>
    </row>
    <row r="24" spans="2:25" x14ac:dyDescent="0.25">
      <c r="B24" t="s">
        <v>178</v>
      </c>
      <c r="C24" t="s">
        <v>179</v>
      </c>
      <c r="D24" t="s">
        <v>180</v>
      </c>
      <c r="E24">
        <v>2026</v>
      </c>
      <c r="F24" t="s">
        <v>29</v>
      </c>
      <c r="I24" t="s">
        <v>31</v>
      </c>
      <c r="J24" t="s">
        <v>32</v>
      </c>
      <c r="K24" t="s">
        <v>181</v>
      </c>
      <c r="L24" t="s">
        <v>182</v>
      </c>
      <c r="P24" t="s">
        <v>35</v>
      </c>
      <c r="R24" t="s">
        <v>36</v>
      </c>
      <c r="S24" t="s">
        <v>37</v>
      </c>
      <c r="T24" t="s">
        <v>38</v>
      </c>
      <c r="U24">
        <v>46276.594525</v>
      </c>
      <c r="V24">
        <v>46297.577430999998</v>
      </c>
      <c r="Y24" t="s">
        <v>39</v>
      </c>
    </row>
    <row r="25" spans="2:25" x14ac:dyDescent="0.25">
      <c r="B25" t="s">
        <v>183</v>
      </c>
      <c r="C25" t="s">
        <v>184</v>
      </c>
      <c r="E25">
        <v>2025</v>
      </c>
      <c r="F25" t="s">
        <v>42</v>
      </c>
      <c r="G25" t="s">
        <v>185</v>
      </c>
      <c r="I25" t="s">
        <v>31</v>
      </c>
      <c r="K25" t="s">
        <v>186</v>
      </c>
      <c r="L25" t="s">
        <v>187</v>
      </c>
      <c r="P25" t="s">
        <v>46</v>
      </c>
      <c r="Q25" t="s">
        <v>47</v>
      </c>
      <c r="T25" t="s">
        <v>94</v>
      </c>
      <c r="U25">
        <v>46275.916933</v>
      </c>
      <c r="V25">
        <v>46297.589306000002</v>
      </c>
      <c r="Y25" t="s">
        <v>58</v>
      </c>
    </row>
    <row r="26" spans="2:25" x14ac:dyDescent="0.25">
      <c r="B26" t="s">
        <v>188</v>
      </c>
      <c r="C26" t="s">
        <v>189</v>
      </c>
      <c r="D26" t="s">
        <v>52</v>
      </c>
      <c r="E26">
        <v>2025</v>
      </c>
      <c r="F26" t="s">
        <v>42</v>
      </c>
      <c r="G26" t="s">
        <v>190</v>
      </c>
      <c r="H26" t="s">
        <v>191</v>
      </c>
      <c r="I26" t="s">
        <v>31</v>
      </c>
      <c r="K26" t="s">
        <v>192</v>
      </c>
      <c r="L26" t="s">
        <v>193</v>
      </c>
      <c r="T26" t="s">
        <v>94</v>
      </c>
      <c r="U26">
        <v>46275.916157</v>
      </c>
      <c r="V26">
        <v>46297.589352000003</v>
      </c>
      <c r="Y26" t="s">
        <v>58</v>
      </c>
    </row>
    <row r="27" spans="2:25" x14ac:dyDescent="0.25">
      <c r="B27" t="s">
        <v>194</v>
      </c>
      <c r="C27" t="s">
        <v>195</v>
      </c>
      <c r="D27" t="s">
        <v>196</v>
      </c>
      <c r="E27">
        <v>2025</v>
      </c>
      <c r="F27" t="s">
        <v>29</v>
      </c>
      <c r="H27" t="s">
        <v>197</v>
      </c>
      <c r="I27" t="s">
        <v>198</v>
      </c>
      <c r="J27" t="s">
        <v>81</v>
      </c>
      <c r="K27" t="s">
        <v>199</v>
      </c>
      <c r="L27" t="s">
        <v>200</v>
      </c>
      <c r="N27" t="s">
        <v>201</v>
      </c>
      <c r="O27" t="s">
        <v>202</v>
      </c>
      <c r="P27" t="s">
        <v>120</v>
      </c>
      <c r="Q27" t="s">
        <v>203</v>
      </c>
      <c r="R27" t="s">
        <v>36</v>
      </c>
      <c r="S27" t="s">
        <v>204</v>
      </c>
      <c r="T27" t="s">
        <v>48</v>
      </c>
      <c r="U27">
        <v>46248.568646</v>
      </c>
      <c r="V27">
        <v>46297.572534999999</v>
      </c>
      <c r="Y27" t="s">
        <v>49</v>
      </c>
    </row>
    <row r="28" spans="2:25" x14ac:dyDescent="0.25">
      <c r="B28" t="s">
        <v>205</v>
      </c>
      <c r="C28" t="s">
        <v>206</v>
      </c>
      <c r="D28" t="s">
        <v>207</v>
      </c>
      <c r="E28">
        <v>2024</v>
      </c>
      <c r="F28" t="s">
        <v>29</v>
      </c>
      <c r="G28" t="s">
        <v>208</v>
      </c>
      <c r="H28" t="s">
        <v>209</v>
      </c>
      <c r="I28" t="s">
        <v>210</v>
      </c>
      <c r="J28" t="s">
        <v>81</v>
      </c>
      <c r="K28" t="s">
        <v>211</v>
      </c>
      <c r="L28" t="s">
        <v>212</v>
      </c>
      <c r="N28" t="s">
        <v>213</v>
      </c>
      <c r="P28" t="s">
        <v>214</v>
      </c>
      <c r="Q28" t="s">
        <v>215</v>
      </c>
      <c r="R28" t="s">
        <v>36</v>
      </c>
      <c r="S28" t="s">
        <v>216</v>
      </c>
      <c r="T28" t="s">
        <v>48</v>
      </c>
      <c r="U28">
        <v>46248.568634000003</v>
      </c>
      <c r="V28">
        <v>46297.572581</v>
      </c>
      <c r="Y28" t="s">
        <v>49</v>
      </c>
    </row>
    <row r="29" spans="2:25" x14ac:dyDescent="0.25">
      <c r="B29" t="s">
        <v>217</v>
      </c>
      <c r="C29" t="s">
        <v>218</v>
      </c>
      <c r="D29" t="s">
        <v>219</v>
      </c>
      <c r="E29">
        <v>2024</v>
      </c>
      <c r="F29" t="s">
        <v>29</v>
      </c>
      <c r="H29" t="s">
        <v>99</v>
      </c>
      <c r="I29" t="s">
        <v>220</v>
      </c>
      <c r="J29" t="s">
        <v>81</v>
      </c>
      <c r="K29" t="s">
        <v>221</v>
      </c>
      <c r="L29" t="s">
        <v>222</v>
      </c>
      <c r="N29" t="s">
        <v>223</v>
      </c>
      <c r="O29" t="s">
        <v>224</v>
      </c>
      <c r="P29" t="s">
        <v>225</v>
      </c>
      <c r="Q29" t="s">
        <v>226</v>
      </c>
      <c r="R29" t="s">
        <v>36</v>
      </c>
      <c r="S29" t="s">
        <v>227</v>
      </c>
      <c r="T29" t="s">
        <v>48</v>
      </c>
      <c r="U29">
        <v>46248.568634000003</v>
      </c>
      <c r="V29">
        <v>46297.572615999998</v>
      </c>
      <c r="Y29" t="s">
        <v>49</v>
      </c>
    </row>
    <row r="30" spans="2:25" x14ac:dyDescent="0.25">
      <c r="B30" t="s">
        <v>228</v>
      </c>
      <c r="C30" t="s">
        <v>229</v>
      </c>
      <c r="E30">
        <v>2025</v>
      </c>
      <c r="F30" t="s">
        <v>230</v>
      </c>
      <c r="G30" t="s">
        <v>231</v>
      </c>
      <c r="I30" t="s">
        <v>232</v>
      </c>
      <c r="K30" t="s">
        <v>233</v>
      </c>
      <c r="L30" t="s">
        <v>234</v>
      </c>
      <c r="O30" t="s">
        <v>235</v>
      </c>
      <c r="P30" t="s">
        <v>236</v>
      </c>
      <c r="T30" t="s">
        <v>48</v>
      </c>
      <c r="U30">
        <v>46248.587847000003</v>
      </c>
      <c r="V30">
        <v>46297.572684999999</v>
      </c>
      <c r="Y30" t="s">
        <v>49</v>
      </c>
    </row>
    <row r="31" spans="2:25" x14ac:dyDescent="0.25">
      <c r="B31" t="s">
        <v>237</v>
      </c>
      <c r="C31" t="s">
        <v>238</v>
      </c>
      <c r="D31" t="s">
        <v>239</v>
      </c>
      <c r="E31">
        <v>2026</v>
      </c>
      <c r="F31" t="s">
        <v>29</v>
      </c>
      <c r="G31" t="s">
        <v>240</v>
      </c>
      <c r="H31" t="s">
        <v>241</v>
      </c>
      <c r="I31" t="s">
        <v>242</v>
      </c>
      <c r="J31" t="s">
        <v>81</v>
      </c>
      <c r="K31" t="s">
        <v>243</v>
      </c>
      <c r="L31" t="s">
        <v>244</v>
      </c>
      <c r="N31" t="s">
        <v>245</v>
      </c>
      <c r="P31" t="s">
        <v>246</v>
      </c>
      <c r="Q31" t="s">
        <v>247</v>
      </c>
      <c r="R31" t="s">
        <v>36</v>
      </c>
      <c r="S31" t="s">
        <v>248</v>
      </c>
      <c r="T31" t="s">
        <v>38</v>
      </c>
      <c r="U31">
        <v>46248.568634000003</v>
      </c>
      <c r="V31">
        <v>46297.577512000003</v>
      </c>
      <c r="Y31" t="s">
        <v>39</v>
      </c>
    </row>
    <row r="32" spans="2:25" x14ac:dyDescent="0.25">
      <c r="B32" t="s">
        <v>249</v>
      </c>
      <c r="C32" t="s">
        <v>250</v>
      </c>
      <c r="D32" t="s">
        <v>251</v>
      </c>
      <c r="E32">
        <v>2025</v>
      </c>
      <c r="F32" t="s">
        <v>29</v>
      </c>
      <c r="G32" t="s">
        <v>252</v>
      </c>
      <c r="H32" t="s">
        <v>253</v>
      </c>
      <c r="I32" t="s">
        <v>254</v>
      </c>
      <c r="J32" t="s">
        <v>32</v>
      </c>
      <c r="K32" t="s">
        <v>255</v>
      </c>
      <c r="L32" t="s">
        <v>256</v>
      </c>
      <c r="N32" t="s">
        <v>257</v>
      </c>
      <c r="O32" t="s">
        <v>258</v>
      </c>
      <c r="P32" t="s">
        <v>259</v>
      </c>
      <c r="Q32" t="s">
        <v>260</v>
      </c>
      <c r="R32" t="s">
        <v>36</v>
      </c>
      <c r="S32" t="s">
        <v>261</v>
      </c>
      <c r="T32" t="s">
        <v>38</v>
      </c>
      <c r="U32">
        <v>46248.568634000003</v>
      </c>
      <c r="V32">
        <v>46297.577465000002</v>
      </c>
      <c r="Y32" t="s">
        <v>39</v>
      </c>
    </row>
    <row r="33" spans="2:25" x14ac:dyDescent="0.25">
      <c r="B33" t="s">
        <v>262</v>
      </c>
      <c r="C33" t="s">
        <v>263</v>
      </c>
      <c r="D33" t="s">
        <v>264</v>
      </c>
      <c r="E33">
        <v>2021</v>
      </c>
      <c r="F33" t="s">
        <v>29</v>
      </c>
      <c r="H33" t="s">
        <v>265</v>
      </c>
      <c r="I33" t="s">
        <v>266</v>
      </c>
      <c r="J33" t="s">
        <v>81</v>
      </c>
      <c r="K33" t="s">
        <v>267</v>
      </c>
      <c r="L33" t="s">
        <v>268</v>
      </c>
      <c r="N33" t="s">
        <v>269</v>
      </c>
      <c r="P33" t="s">
        <v>120</v>
      </c>
      <c r="Q33" t="s">
        <v>270</v>
      </c>
      <c r="R33" t="s">
        <v>36</v>
      </c>
      <c r="S33" t="s">
        <v>271</v>
      </c>
      <c r="T33" t="s">
        <v>57</v>
      </c>
      <c r="U33">
        <v>46248.568634000003</v>
      </c>
      <c r="V33">
        <v>46297.584802999998</v>
      </c>
      <c r="Y33" t="s">
        <v>58</v>
      </c>
    </row>
    <row r="34" spans="2:25" x14ac:dyDescent="0.25">
      <c r="B34" t="s">
        <v>272</v>
      </c>
      <c r="C34" t="s">
        <v>273</v>
      </c>
      <c r="D34" t="s">
        <v>274</v>
      </c>
      <c r="E34">
        <v>2026</v>
      </c>
      <c r="F34" t="s">
        <v>29</v>
      </c>
      <c r="H34" t="s">
        <v>80</v>
      </c>
      <c r="I34" t="s">
        <v>275</v>
      </c>
      <c r="J34" t="s">
        <v>81</v>
      </c>
      <c r="K34" t="s">
        <v>276</v>
      </c>
      <c r="L34" t="s">
        <v>277</v>
      </c>
      <c r="N34" t="s">
        <v>278</v>
      </c>
      <c r="O34" t="s">
        <v>279</v>
      </c>
      <c r="P34" t="s">
        <v>280</v>
      </c>
      <c r="Q34" t="s">
        <v>281</v>
      </c>
      <c r="R34" t="s">
        <v>36</v>
      </c>
      <c r="S34" t="s">
        <v>282</v>
      </c>
      <c r="T34" t="s">
        <v>57</v>
      </c>
      <c r="U34">
        <v>46248.568634000003</v>
      </c>
      <c r="V34">
        <v>46297.584953999998</v>
      </c>
      <c r="Y34" t="s">
        <v>58</v>
      </c>
    </row>
    <row r="35" spans="2:25" x14ac:dyDescent="0.25">
      <c r="B35" t="s">
        <v>283</v>
      </c>
      <c r="C35" t="s">
        <v>284</v>
      </c>
      <c r="D35" t="s">
        <v>285</v>
      </c>
      <c r="E35">
        <v>2025</v>
      </c>
      <c r="F35" t="s">
        <v>29</v>
      </c>
      <c r="G35" t="s">
        <v>286</v>
      </c>
      <c r="I35" t="s">
        <v>287</v>
      </c>
      <c r="J35" t="s">
        <v>32</v>
      </c>
      <c r="K35" t="s">
        <v>288</v>
      </c>
      <c r="L35" t="s">
        <v>289</v>
      </c>
      <c r="N35" t="s">
        <v>290</v>
      </c>
      <c r="O35" t="s">
        <v>291</v>
      </c>
      <c r="P35" t="s">
        <v>35</v>
      </c>
      <c r="R35" t="s">
        <v>36</v>
      </c>
      <c r="S35" t="s">
        <v>261</v>
      </c>
      <c r="T35" t="s">
        <v>57</v>
      </c>
      <c r="U35">
        <v>46248.568646</v>
      </c>
      <c r="V35">
        <v>46297.584896</v>
      </c>
      <c r="Y35" t="s">
        <v>58</v>
      </c>
    </row>
    <row r="36" spans="2:25" x14ac:dyDescent="0.25">
      <c r="B36" t="s">
        <v>292</v>
      </c>
      <c r="C36" t="s">
        <v>293</v>
      </c>
      <c r="D36" t="s">
        <v>294</v>
      </c>
      <c r="E36">
        <v>2025</v>
      </c>
      <c r="F36" t="s">
        <v>29</v>
      </c>
      <c r="G36" t="s">
        <v>295</v>
      </c>
      <c r="H36" t="s">
        <v>296</v>
      </c>
      <c r="I36" t="s">
        <v>297</v>
      </c>
      <c r="J36" t="s">
        <v>81</v>
      </c>
      <c r="K36" t="s">
        <v>298</v>
      </c>
      <c r="L36" t="s">
        <v>299</v>
      </c>
      <c r="N36" t="s">
        <v>300</v>
      </c>
      <c r="P36" t="s">
        <v>259</v>
      </c>
      <c r="Q36" t="s">
        <v>301</v>
      </c>
      <c r="R36" t="s">
        <v>36</v>
      </c>
      <c r="S36" t="s">
        <v>302</v>
      </c>
      <c r="T36" t="s">
        <v>57</v>
      </c>
      <c r="U36">
        <v>46248.568646</v>
      </c>
      <c r="V36">
        <v>46297.585046</v>
      </c>
      <c r="Y36" t="s">
        <v>58</v>
      </c>
    </row>
    <row r="37" spans="2:25" x14ac:dyDescent="0.25">
      <c r="B37" t="s">
        <v>303</v>
      </c>
      <c r="C37" t="s">
        <v>304</v>
      </c>
      <c r="D37" t="s">
        <v>305</v>
      </c>
      <c r="E37">
        <v>2024</v>
      </c>
      <c r="F37" t="s">
        <v>29</v>
      </c>
      <c r="G37" t="s">
        <v>306</v>
      </c>
      <c r="H37" t="s">
        <v>307</v>
      </c>
      <c r="I37" t="s">
        <v>308</v>
      </c>
      <c r="J37" t="s">
        <v>81</v>
      </c>
      <c r="K37" t="s">
        <v>309</v>
      </c>
      <c r="L37" t="s">
        <v>310</v>
      </c>
      <c r="N37" t="s">
        <v>311</v>
      </c>
      <c r="P37" t="s">
        <v>312</v>
      </c>
      <c r="Q37" t="s">
        <v>313</v>
      </c>
      <c r="R37" t="s">
        <v>36</v>
      </c>
      <c r="S37" t="s">
        <v>314</v>
      </c>
      <c r="T37" t="s">
        <v>57</v>
      </c>
      <c r="U37">
        <v>46248.568634000003</v>
      </c>
      <c r="V37">
        <v>46297.584999999999</v>
      </c>
      <c r="Y37" t="s">
        <v>58</v>
      </c>
    </row>
    <row r="38" spans="2:25" x14ac:dyDescent="0.25">
      <c r="B38" t="s">
        <v>315</v>
      </c>
      <c r="C38" t="s">
        <v>316</v>
      </c>
      <c r="D38" t="s">
        <v>317</v>
      </c>
      <c r="E38">
        <v>2025</v>
      </c>
      <c r="F38" t="s">
        <v>29</v>
      </c>
      <c r="H38" t="s">
        <v>318</v>
      </c>
      <c r="I38" t="s">
        <v>319</v>
      </c>
      <c r="J38" t="s">
        <v>81</v>
      </c>
      <c r="K38" t="s">
        <v>320</v>
      </c>
      <c r="L38" t="s">
        <v>321</v>
      </c>
      <c r="N38" t="s">
        <v>322</v>
      </c>
      <c r="O38" t="s">
        <v>323</v>
      </c>
      <c r="P38" t="s">
        <v>324</v>
      </c>
      <c r="Q38" t="s">
        <v>325</v>
      </c>
      <c r="R38" t="s">
        <v>36</v>
      </c>
      <c r="S38" t="s">
        <v>326</v>
      </c>
      <c r="T38" t="s">
        <v>57</v>
      </c>
      <c r="U38">
        <v>46248.568634000003</v>
      </c>
      <c r="V38">
        <v>46297.585093000002</v>
      </c>
      <c r="Y38" t="s">
        <v>58</v>
      </c>
    </row>
    <row r="39" spans="2:25" x14ac:dyDescent="0.25">
      <c r="B39" t="s">
        <v>327</v>
      </c>
      <c r="C39" t="s">
        <v>328</v>
      </c>
      <c r="D39" t="s">
        <v>329</v>
      </c>
      <c r="E39">
        <v>2025</v>
      </c>
      <c r="F39" t="s">
        <v>29</v>
      </c>
      <c r="I39" t="s">
        <v>330</v>
      </c>
      <c r="J39" t="s">
        <v>32</v>
      </c>
      <c r="K39" t="s">
        <v>331</v>
      </c>
      <c r="L39" t="s">
        <v>332</v>
      </c>
      <c r="N39" t="s">
        <v>333</v>
      </c>
      <c r="O39" t="s">
        <v>334</v>
      </c>
      <c r="P39" t="s">
        <v>35</v>
      </c>
      <c r="R39" t="s">
        <v>36</v>
      </c>
      <c r="S39" t="s">
        <v>37</v>
      </c>
      <c r="T39" t="s">
        <v>38</v>
      </c>
      <c r="U39">
        <v>46248.568646</v>
      </c>
      <c r="V39">
        <v>46297.577546</v>
      </c>
      <c r="Y39" t="s">
        <v>39</v>
      </c>
    </row>
    <row r="40" spans="2:25" x14ac:dyDescent="0.25">
      <c r="B40" t="s">
        <v>335</v>
      </c>
      <c r="C40" t="s">
        <v>336</v>
      </c>
      <c r="D40" t="s">
        <v>337</v>
      </c>
      <c r="E40">
        <v>2024</v>
      </c>
      <c r="F40" t="s">
        <v>29</v>
      </c>
      <c r="G40" t="s">
        <v>338</v>
      </c>
      <c r="I40" t="s">
        <v>339</v>
      </c>
      <c r="J40" t="s">
        <v>32</v>
      </c>
      <c r="K40" t="s">
        <v>340</v>
      </c>
      <c r="L40" t="s">
        <v>341</v>
      </c>
      <c r="N40" t="s">
        <v>342</v>
      </c>
      <c r="O40" t="s">
        <v>343</v>
      </c>
      <c r="P40" t="s">
        <v>35</v>
      </c>
      <c r="R40" t="s">
        <v>36</v>
      </c>
      <c r="S40" t="s">
        <v>344</v>
      </c>
      <c r="T40" t="s">
        <v>38</v>
      </c>
      <c r="U40">
        <v>46248.568646</v>
      </c>
      <c r="V40">
        <v>46297.577603999998</v>
      </c>
      <c r="Y40" t="s">
        <v>39</v>
      </c>
    </row>
    <row r="41" spans="2:25" x14ac:dyDescent="0.25">
      <c r="B41" t="s">
        <v>345</v>
      </c>
      <c r="C41" t="s">
        <v>346</v>
      </c>
      <c r="D41" t="s">
        <v>347</v>
      </c>
      <c r="E41">
        <v>2025</v>
      </c>
      <c r="F41" t="s">
        <v>29</v>
      </c>
      <c r="I41" t="s">
        <v>348</v>
      </c>
      <c r="J41" t="s">
        <v>32</v>
      </c>
      <c r="K41" t="s">
        <v>349</v>
      </c>
      <c r="L41" t="s">
        <v>350</v>
      </c>
      <c r="N41" t="s">
        <v>351</v>
      </c>
      <c r="O41" t="s">
        <v>352</v>
      </c>
      <c r="P41" t="s">
        <v>35</v>
      </c>
      <c r="R41" t="s">
        <v>36</v>
      </c>
      <c r="S41" t="s">
        <v>37</v>
      </c>
      <c r="T41" t="s">
        <v>94</v>
      </c>
      <c r="U41">
        <v>46248.568646</v>
      </c>
      <c r="V41">
        <v>46297.589443999997</v>
      </c>
      <c r="Y41" t="s">
        <v>58</v>
      </c>
    </row>
    <row r="42" spans="2:25" x14ac:dyDescent="0.25">
      <c r="B42" t="s">
        <v>353</v>
      </c>
      <c r="C42" t="s">
        <v>354</v>
      </c>
      <c r="D42" t="s">
        <v>355</v>
      </c>
      <c r="E42">
        <v>2026</v>
      </c>
      <c r="F42" t="s">
        <v>29</v>
      </c>
      <c r="G42" t="s">
        <v>356</v>
      </c>
      <c r="H42" t="s">
        <v>209</v>
      </c>
      <c r="I42" t="s">
        <v>357</v>
      </c>
      <c r="J42" t="s">
        <v>81</v>
      </c>
      <c r="K42" t="s">
        <v>358</v>
      </c>
      <c r="L42" t="s">
        <v>359</v>
      </c>
      <c r="N42" t="s">
        <v>360</v>
      </c>
      <c r="P42" t="s">
        <v>355</v>
      </c>
      <c r="Q42" t="s">
        <v>361</v>
      </c>
      <c r="R42" t="s">
        <v>36</v>
      </c>
      <c r="S42" t="s">
        <v>362</v>
      </c>
      <c r="T42" t="s">
        <v>87</v>
      </c>
      <c r="U42">
        <v>46248.568634000003</v>
      </c>
      <c r="V42">
        <v>46255.556250000001</v>
      </c>
      <c r="Y42" t="s">
        <v>58</v>
      </c>
    </row>
    <row r="43" spans="2:25" x14ac:dyDescent="0.25">
      <c r="B43" t="s">
        <v>363</v>
      </c>
      <c r="C43" t="s">
        <v>364</v>
      </c>
      <c r="D43" t="s">
        <v>365</v>
      </c>
      <c r="E43">
        <v>2025</v>
      </c>
      <c r="F43" t="s">
        <v>29</v>
      </c>
      <c r="I43" t="s">
        <v>366</v>
      </c>
      <c r="J43" t="s">
        <v>32</v>
      </c>
      <c r="K43" t="s">
        <v>367</v>
      </c>
      <c r="L43" t="s">
        <v>368</v>
      </c>
      <c r="N43" t="s">
        <v>369</v>
      </c>
      <c r="O43" t="s">
        <v>370</v>
      </c>
      <c r="P43" t="s">
        <v>35</v>
      </c>
      <c r="R43" t="s">
        <v>36</v>
      </c>
      <c r="S43" t="s">
        <v>37</v>
      </c>
      <c r="T43" t="s">
        <v>94</v>
      </c>
      <c r="U43">
        <v>46248.568634000003</v>
      </c>
      <c r="V43">
        <v>46297.589571999997</v>
      </c>
      <c r="Y43" t="s">
        <v>58</v>
      </c>
    </row>
    <row r="44" spans="2:25" x14ac:dyDescent="0.25">
      <c r="B44" t="s">
        <v>371</v>
      </c>
      <c r="C44" t="s">
        <v>372</v>
      </c>
      <c r="D44" t="s">
        <v>373</v>
      </c>
      <c r="E44">
        <v>2026</v>
      </c>
      <c r="F44" t="s">
        <v>29</v>
      </c>
      <c r="I44" t="s">
        <v>374</v>
      </c>
      <c r="J44" t="s">
        <v>32</v>
      </c>
      <c r="K44" t="s">
        <v>375</v>
      </c>
      <c r="L44" t="s">
        <v>376</v>
      </c>
      <c r="N44" t="s">
        <v>377</v>
      </c>
      <c r="O44" t="s">
        <v>378</v>
      </c>
      <c r="P44" t="s">
        <v>35</v>
      </c>
      <c r="R44" t="s">
        <v>36</v>
      </c>
      <c r="S44" t="s">
        <v>37</v>
      </c>
      <c r="T44" t="s">
        <v>94</v>
      </c>
      <c r="U44">
        <v>46248.568634000003</v>
      </c>
      <c r="V44">
        <v>46297.589617999998</v>
      </c>
      <c r="Y44" t="s">
        <v>58</v>
      </c>
    </row>
    <row r="45" spans="2:25" x14ac:dyDescent="0.25">
      <c r="B45" t="s">
        <v>379</v>
      </c>
      <c r="C45" t="s">
        <v>380</v>
      </c>
      <c r="D45" t="s">
        <v>381</v>
      </c>
      <c r="E45">
        <v>2026</v>
      </c>
      <c r="F45" t="s">
        <v>29</v>
      </c>
      <c r="G45" t="s">
        <v>382</v>
      </c>
      <c r="I45" t="s">
        <v>383</v>
      </c>
      <c r="J45" t="s">
        <v>32</v>
      </c>
      <c r="K45" t="s">
        <v>384</v>
      </c>
      <c r="L45" t="s">
        <v>385</v>
      </c>
      <c r="N45" t="s">
        <v>386</v>
      </c>
      <c r="O45" t="s">
        <v>387</v>
      </c>
      <c r="P45" t="s">
        <v>35</v>
      </c>
      <c r="R45" t="s">
        <v>36</v>
      </c>
      <c r="S45" t="s">
        <v>37</v>
      </c>
      <c r="T45" t="s">
        <v>94</v>
      </c>
      <c r="U45">
        <v>46248.568634000003</v>
      </c>
      <c r="V45">
        <v>46297.589663999999</v>
      </c>
      <c r="Y45" t="s">
        <v>58</v>
      </c>
    </row>
    <row r="46" spans="2:25" x14ac:dyDescent="0.25">
      <c r="B46" t="s">
        <v>388</v>
      </c>
      <c r="C46" t="s">
        <v>389</v>
      </c>
      <c r="D46" t="s">
        <v>390</v>
      </c>
      <c r="E46">
        <v>2026</v>
      </c>
      <c r="F46" t="s">
        <v>29</v>
      </c>
      <c r="H46" t="s">
        <v>391</v>
      </c>
      <c r="I46" t="s">
        <v>392</v>
      </c>
      <c r="J46" t="s">
        <v>81</v>
      </c>
      <c r="K46" t="s">
        <v>393</v>
      </c>
      <c r="L46" t="s">
        <v>394</v>
      </c>
      <c r="N46" t="s">
        <v>395</v>
      </c>
      <c r="P46" t="s">
        <v>396</v>
      </c>
      <c r="Q46" t="s">
        <v>397</v>
      </c>
      <c r="R46" t="s">
        <v>36</v>
      </c>
      <c r="S46" t="s">
        <v>227</v>
      </c>
      <c r="T46" t="s">
        <v>398</v>
      </c>
      <c r="U46">
        <v>46248.568646</v>
      </c>
      <c r="V46">
        <v>46297.598530000003</v>
      </c>
      <c r="Y46" t="s">
        <v>58</v>
      </c>
    </row>
    <row r="47" spans="2:25" x14ac:dyDescent="0.25">
      <c r="B47" t="s">
        <v>399</v>
      </c>
      <c r="C47" t="s">
        <v>400</v>
      </c>
      <c r="D47" t="s">
        <v>401</v>
      </c>
      <c r="E47">
        <v>2025</v>
      </c>
      <c r="F47" t="s">
        <v>29</v>
      </c>
      <c r="G47" t="s">
        <v>402</v>
      </c>
      <c r="H47" t="s">
        <v>403</v>
      </c>
      <c r="I47" t="s">
        <v>404</v>
      </c>
      <c r="J47" t="s">
        <v>32</v>
      </c>
      <c r="K47" t="s">
        <v>405</v>
      </c>
      <c r="L47" t="s">
        <v>406</v>
      </c>
      <c r="N47" t="s">
        <v>407</v>
      </c>
      <c r="O47" t="s">
        <v>408</v>
      </c>
      <c r="P47" t="s">
        <v>259</v>
      </c>
      <c r="Q47" t="s">
        <v>409</v>
      </c>
      <c r="R47" t="s">
        <v>36</v>
      </c>
      <c r="S47" t="s">
        <v>261</v>
      </c>
      <c r="T47" t="s">
        <v>48</v>
      </c>
      <c r="U47">
        <v>46248.568634000003</v>
      </c>
      <c r="V47">
        <v>46297.579167000004</v>
      </c>
      <c r="Y47" t="s">
        <v>49</v>
      </c>
    </row>
    <row r="48" spans="2:25" x14ac:dyDescent="0.25">
      <c r="B48" t="s">
        <v>410</v>
      </c>
      <c r="C48" t="s">
        <v>411</v>
      </c>
      <c r="D48" t="s">
        <v>412</v>
      </c>
      <c r="E48">
        <v>2026</v>
      </c>
      <c r="F48" t="s">
        <v>29</v>
      </c>
      <c r="G48" t="s">
        <v>413</v>
      </c>
      <c r="H48" t="s">
        <v>414</v>
      </c>
      <c r="I48" t="s">
        <v>415</v>
      </c>
      <c r="J48" t="s">
        <v>81</v>
      </c>
      <c r="K48" t="s">
        <v>416</v>
      </c>
      <c r="L48" t="s">
        <v>417</v>
      </c>
      <c r="N48" t="s">
        <v>418</v>
      </c>
      <c r="O48" t="s">
        <v>419</v>
      </c>
      <c r="P48" t="s">
        <v>420</v>
      </c>
      <c r="Q48" t="s">
        <v>421</v>
      </c>
      <c r="R48" t="s">
        <v>36</v>
      </c>
      <c r="S48" t="s">
        <v>422</v>
      </c>
      <c r="T48" t="s">
        <v>87</v>
      </c>
      <c r="U48">
        <v>46248.568646</v>
      </c>
      <c r="V48">
        <v>46252.794976999998</v>
      </c>
      <c r="Y48" t="s">
        <v>58</v>
      </c>
    </row>
    <row r="49" spans="2:25" x14ac:dyDescent="0.25">
      <c r="B49" t="s">
        <v>423</v>
      </c>
      <c r="C49" t="s">
        <v>424</v>
      </c>
      <c r="E49">
        <v>2023</v>
      </c>
      <c r="F49" t="s">
        <v>230</v>
      </c>
      <c r="G49" t="s">
        <v>425</v>
      </c>
      <c r="I49" t="s">
        <v>426</v>
      </c>
      <c r="K49" t="s">
        <v>427</v>
      </c>
      <c r="L49" t="s">
        <v>428</v>
      </c>
      <c r="O49" t="s">
        <v>429</v>
      </c>
      <c r="P49" t="s">
        <v>236</v>
      </c>
      <c r="T49" t="s">
        <v>87</v>
      </c>
      <c r="U49">
        <v>46248.587847000003</v>
      </c>
      <c r="V49">
        <v>46252.792522999996</v>
      </c>
      <c r="Y49" t="s">
        <v>58</v>
      </c>
    </row>
    <row r="50" spans="2:25" x14ac:dyDescent="0.25">
      <c r="B50" t="s">
        <v>430</v>
      </c>
      <c r="C50" t="s">
        <v>431</v>
      </c>
      <c r="D50" t="s">
        <v>432</v>
      </c>
      <c r="E50">
        <v>2022</v>
      </c>
      <c r="F50" t="s">
        <v>29</v>
      </c>
      <c r="G50" t="s">
        <v>433</v>
      </c>
      <c r="I50" t="s">
        <v>434</v>
      </c>
      <c r="J50" t="s">
        <v>32</v>
      </c>
      <c r="K50" t="s">
        <v>435</v>
      </c>
      <c r="L50" t="s">
        <v>436</v>
      </c>
      <c r="N50" t="s">
        <v>437</v>
      </c>
      <c r="O50" t="s">
        <v>438</v>
      </c>
      <c r="P50" t="s">
        <v>35</v>
      </c>
      <c r="R50" t="s">
        <v>36</v>
      </c>
      <c r="S50" t="s">
        <v>37</v>
      </c>
      <c r="T50" t="s">
        <v>87</v>
      </c>
      <c r="U50">
        <v>46248.568646</v>
      </c>
      <c r="V50">
        <v>46252.790381999999</v>
      </c>
      <c r="Y50" t="s">
        <v>58</v>
      </c>
    </row>
    <row r="51" spans="2:25" x14ac:dyDescent="0.25">
      <c r="B51" t="s">
        <v>439</v>
      </c>
      <c r="C51" t="s">
        <v>440</v>
      </c>
      <c r="D51" t="s">
        <v>441</v>
      </c>
      <c r="E51">
        <v>2025</v>
      </c>
      <c r="F51" t="s">
        <v>29</v>
      </c>
      <c r="G51" t="s">
        <v>442</v>
      </c>
      <c r="I51" t="s">
        <v>443</v>
      </c>
      <c r="J51" t="s">
        <v>32</v>
      </c>
      <c r="K51" t="s">
        <v>444</v>
      </c>
      <c r="L51" t="s">
        <v>445</v>
      </c>
      <c r="N51" t="s">
        <v>446</v>
      </c>
      <c r="P51" t="s">
        <v>214</v>
      </c>
      <c r="Q51" t="s">
        <v>447</v>
      </c>
      <c r="R51" t="s">
        <v>36</v>
      </c>
      <c r="S51" t="s">
        <v>37</v>
      </c>
      <c r="T51" t="s">
        <v>87</v>
      </c>
      <c r="U51">
        <v>46248.568646</v>
      </c>
      <c r="V51">
        <v>46252.789363000004</v>
      </c>
      <c r="Y51" t="s">
        <v>58</v>
      </c>
    </row>
    <row r="52" spans="2:25" x14ac:dyDescent="0.25">
      <c r="B52" t="s">
        <v>448</v>
      </c>
      <c r="C52" t="s">
        <v>449</v>
      </c>
      <c r="D52" t="s">
        <v>450</v>
      </c>
      <c r="E52">
        <v>2025</v>
      </c>
      <c r="F52" t="s">
        <v>29</v>
      </c>
      <c r="G52" t="s">
        <v>451</v>
      </c>
      <c r="H52" t="s">
        <v>54</v>
      </c>
      <c r="I52" t="s">
        <v>452</v>
      </c>
      <c r="J52" t="s">
        <v>81</v>
      </c>
      <c r="K52" t="s">
        <v>453</v>
      </c>
      <c r="L52" t="s">
        <v>454</v>
      </c>
      <c r="N52" t="s">
        <v>455</v>
      </c>
      <c r="O52" t="s">
        <v>456</v>
      </c>
      <c r="P52" t="s">
        <v>457</v>
      </c>
      <c r="Q52" t="s">
        <v>458</v>
      </c>
      <c r="R52" t="s">
        <v>36</v>
      </c>
      <c r="S52" t="s">
        <v>459</v>
      </c>
      <c r="T52" t="s">
        <v>57</v>
      </c>
      <c r="U52">
        <v>46248.576794000001</v>
      </c>
      <c r="V52">
        <v>46297.585300999999</v>
      </c>
      <c r="Y52" t="s">
        <v>58</v>
      </c>
    </row>
    <row r="53" spans="2:25" x14ac:dyDescent="0.25">
      <c r="B53" t="s">
        <v>460</v>
      </c>
      <c r="C53" t="s">
        <v>461</v>
      </c>
      <c r="D53" t="s">
        <v>462</v>
      </c>
      <c r="E53">
        <v>2026</v>
      </c>
      <c r="F53" t="s">
        <v>29</v>
      </c>
      <c r="G53" t="s">
        <v>463</v>
      </c>
      <c r="H53" t="s">
        <v>464</v>
      </c>
      <c r="I53" t="s">
        <v>465</v>
      </c>
      <c r="J53" t="s">
        <v>32</v>
      </c>
      <c r="K53" t="s">
        <v>466</v>
      </c>
      <c r="L53" t="s">
        <v>467</v>
      </c>
      <c r="N53" t="s">
        <v>468</v>
      </c>
      <c r="O53" t="s">
        <v>469</v>
      </c>
      <c r="P53" t="s">
        <v>259</v>
      </c>
      <c r="Q53" t="s">
        <v>470</v>
      </c>
      <c r="R53" t="s">
        <v>36</v>
      </c>
      <c r="S53" t="s">
        <v>261</v>
      </c>
      <c r="T53" t="s">
        <v>48</v>
      </c>
      <c r="U53">
        <v>46248.568646</v>
      </c>
      <c r="V53">
        <v>46297.579757</v>
      </c>
      <c r="Y53" t="s">
        <v>49</v>
      </c>
    </row>
    <row r="54" spans="2:25" x14ac:dyDescent="0.25">
      <c r="B54" t="s">
        <v>471</v>
      </c>
      <c r="C54" t="s">
        <v>472</v>
      </c>
      <c r="D54" t="s">
        <v>473</v>
      </c>
      <c r="E54">
        <v>2022</v>
      </c>
      <c r="F54" t="s">
        <v>29</v>
      </c>
      <c r="I54" t="s">
        <v>474</v>
      </c>
      <c r="J54" t="s">
        <v>32</v>
      </c>
      <c r="K54" t="s">
        <v>475</v>
      </c>
      <c r="L54" t="s">
        <v>476</v>
      </c>
      <c r="N54" t="s">
        <v>477</v>
      </c>
      <c r="O54" t="s">
        <v>478</v>
      </c>
      <c r="P54" t="s">
        <v>236</v>
      </c>
      <c r="R54" t="s">
        <v>36</v>
      </c>
      <c r="S54" t="s">
        <v>479</v>
      </c>
      <c r="T54" t="s">
        <v>94</v>
      </c>
      <c r="U54">
        <v>46248.568634000003</v>
      </c>
      <c r="V54">
        <v>46297.589814999999</v>
      </c>
      <c r="Y54" t="s">
        <v>58</v>
      </c>
    </row>
    <row r="55" spans="2:25" x14ac:dyDescent="0.25">
      <c r="B55" t="s">
        <v>480</v>
      </c>
      <c r="C55" t="s">
        <v>481</v>
      </c>
      <c r="D55" t="s">
        <v>482</v>
      </c>
      <c r="E55">
        <v>2025</v>
      </c>
      <c r="F55" t="s">
        <v>29</v>
      </c>
      <c r="G55" t="s">
        <v>483</v>
      </c>
      <c r="H55" t="s">
        <v>391</v>
      </c>
      <c r="I55" t="s">
        <v>484</v>
      </c>
      <c r="J55" t="s">
        <v>81</v>
      </c>
      <c r="K55" t="s">
        <v>485</v>
      </c>
      <c r="L55" t="s">
        <v>486</v>
      </c>
      <c r="N55" t="s">
        <v>487</v>
      </c>
      <c r="P55" t="s">
        <v>488</v>
      </c>
      <c r="Q55" t="s">
        <v>489</v>
      </c>
      <c r="R55" t="s">
        <v>36</v>
      </c>
      <c r="S55" t="s">
        <v>490</v>
      </c>
      <c r="T55" t="s">
        <v>48</v>
      </c>
      <c r="U55">
        <v>46248.568634000003</v>
      </c>
      <c r="V55">
        <v>46297.572719999996</v>
      </c>
      <c r="Y55" t="s">
        <v>49</v>
      </c>
    </row>
    <row r="56" spans="2:25" x14ac:dyDescent="0.25">
      <c r="B56" t="s">
        <v>491</v>
      </c>
      <c r="C56" t="s">
        <v>492</v>
      </c>
      <c r="D56" t="s">
        <v>462</v>
      </c>
      <c r="E56">
        <v>2024</v>
      </c>
      <c r="F56" t="s">
        <v>29</v>
      </c>
      <c r="G56" t="s">
        <v>493</v>
      </c>
      <c r="H56" t="s">
        <v>494</v>
      </c>
      <c r="I56" t="s">
        <v>495</v>
      </c>
      <c r="J56" t="s">
        <v>32</v>
      </c>
      <c r="K56" t="s">
        <v>496</v>
      </c>
      <c r="L56" t="s">
        <v>497</v>
      </c>
      <c r="N56" t="s">
        <v>498</v>
      </c>
      <c r="O56" t="s">
        <v>499</v>
      </c>
      <c r="P56" t="s">
        <v>259</v>
      </c>
      <c r="Q56" t="s">
        <v>470</v>
      </c>
      <c r="R56" t="s">
        <v>36</v>
      </c>
      <c r="S56" t="s">
        <v>261</v>
      </c>
      <c r="T56" t="s">
        <v>94</v>
      </c>
      <c r="U56">
        <v>46248.568634000003</v>
      </c>
      <c r="V56">
        <v>46297.589861</v>
      </c>
      <c r="Y56" t="s">
        <v>58</v>
      </c>
    </row>
    <row r="57" spans="2:25" x14ac:dyDescent="0.25">
      <c r="B57" t="s">
        <v>500</v>
      </c>
      <c r="C57" t="s">
        <v>501</v>
      </c>
      <c r="D57" t="s">
        <v>502</v>
      </c>
      <c r="E57">
        <v>2025</v>
      </c>
      <c r="F57" t="s">
        <v>29</v>
      </c>
      <c r="H57" t="s">
        <v>391</v>
      </c>
      <c r="I57" t="s">
        <v>503</v>
      </c>
      <c r="J57" t="s">
        <v>81</v>
      </c>
      <c r="K57" t="s">
        <v>504</v>
      </c>
      <c r="L57" t="s">
        <v>505</v>
      </c>
      <c r="N57" t="s">
        <v>506</v>
      </c>
      <c r="O57" t="s">
        <v>507</v>
      </c>
      <c r="P57" t="s">
        <v>225</v>
      </c>
      <c r="Q57" t="s">
        <v>508</v>
      </c>
      <c r="R57" t="s">
        <v>36</v>
      </c>
      <c r="S57" t="s">
        <v>509</v>
      </c>
      <c r="T57" t="s">
        <v>94</v>
      </c>
      <c r="U57">
        <v>46248.568634000003</v>
      </c>
      <c r="V57">
        <v>46297.589918999998</v>
      </c>
      <c r="Y57" t="s">
        <v>58</v>
      </c>
    </row>
    <row r="58" spans="2:25" x14ac:dyDescent="0.25">
      <c r="B58" t="s">
        <v>510</v>
      </c>
      <c r="C58" t="s">
        <v>511</v>
      </c>
      <c r="D58" t="s">
        <v>512</v>
      </c>
      <c r="E58">
        <v>2025</v>
      </c>
      <c r="F58" t="s">
        <v>29</v>
      </c>
      <c r="H58" t="s">
        <v>513</v>
      </c>
      <c r="I58" t="s">
        <v>514</v>
      </c>
      <c r="J58" t="s">
        <v>81</v>
      </c>
      <c r="K58" t="s">
        <v>515</v>
      </c>
      <c r="L58" t="s">
        <v>516</v>
      </c>
      <c r="N58" t="s">
        <v>517</v>
      </c>
      <c r="O58" t="s">
        <v>518</v>
      </c>
      <c r="P58" t="s">
        <v>519</v>
      </c>
      <c r="Q58" t="s">
        <v>520</v>
      </c>
      <c r="R58" t="s">
        <v>36</v>
      </c>
      <c r="S58" t="s">
        <v>521</v>
      </c>
      <c r="T58" t="s">
        <v>87</v>
      </c>
      <c r="U58">
        <v>46248.568634000003</v>
      </c>
      <c r="V58">
        <v>46252.767291999997</v>
      </c>
      <c r="Y58" t="s">
        <v>58</v>
      </c>
    </row>
    <row r="59" spans="2:25" x14ac:dyDescent="0.25">
      <c r="B59" t="s">
        <v>522</v>
      </c>
      <c r="C59" t="s">
        <v>523</v>
      </c>
      <c r="D59" t="s">
        <v>524</v>
      </c>
      <c r="E59">
        <v>2023</v>
      </c>
      <c r="F59" t="s">
        <v>29</v>
      </c>
      <c r="I59" t="s">
        <v>525</v>
      </c>
      <c r="J59" t="s">
        <v>32</v>
      </c>
      <c r="K59" t="s">
        <v>526</v>
      </c>
      <c r="L59" t="s">
        <v>527</v>
      </c>
      <c r="N59" t="s">
        <v>528</v>
      </c>
      <c r="O59" t="s">
        <v>529</v>
      </c>
      <c r="P59" t="s">
        <v>35</v>
      </c>
      <c r="R59" t="s">
        <v>36</v>
      </c>
      <c r="S59" t="s">
        <v>261</v>
      </c>
      <c r="T59" t="s">
        <v>87</v>
      </c>
      <c r="U59">
        <v>46248.568634000003</v>
      </c>
      <c r="V59">
        <v>46252.767095000003</v>
      </c>
      <c r="Y59" t="s">
        <v>58</v>
      </c>
    </row>
    <row r="60" spans="2:25" x14ac:dyDescent="0.25">
      <c r="B60" t="s">
        <v>530</v>
      </c>
      <c r="C60" t="s">
        <v>531</v>
      </c>
      <c r="D60" t="s">
        <v>532</v>
      </c>
      <c r="E60">
        <v>2024</v>
      </c>
      <c r="F60" t="s">
        <v>29</v>
      </c>
      <c r="I60" t="s">
        <v>533</v>
      </c>
      <c r="J60" t="s">
        <v>32</v>
      </c>
      <c r="K60" t="s">
        <v>534</v>
      </c>
      <c r="L60" t="s">
        <v>535</v>
      </c>
      <c r="N60" t="s">
        <v>536</v>
      </c>
      <c r="O60" t="s">
        <v>537</v>
      </c>
      <c r="P60" t="s">
        <v>35</v>
      </c>
      <c r="R60" t="s">
        <v>36</v>
      </c>
      <c r="S60" t="s">
        <v>538</v>
      </c>
      <c r="T60" t="s">
        <v>48</v>
      </c>
      <c r="U60">
        <v>46248.568634000003</v>
      </c>
      <c r="V60">
        <v>46297.572765999998</v>
      </c>
      <c r="Y60" t="s">
        <v>49</v>
      </c>
    </row>
    <row r="61" spans="2:25" x14ac:dyDescent="0.25">
      <c r="B61" t="s">
        <v>539</v>
      </c>
      <c r="C61" t="s">
        <v>540</v>
      </c>
      <c r="D61" t="s">
        <v>541</v>
      </c>
      <c r="E61">
        <v>2021</v>
      </c>
      <c r="F61" t="s">
        <v>29</v>
      </c>
      <c r="G61" t="s">
        <v>542</v>
      </c>
      <c r="I61" t="s">
        <v>543</v>
      </c>
      <c r="J61" t="s">
        <v>32</v>
      </c>
      <c r="K61" t="s">
        <v>544</v>
      </c>
      <c r="L61" t="s">
        <v>545</v>
      </c>
      <c r="N61" t="s">
        <v>546</v>
      </c>
      <c r="O61" t="s">
        <v>547</v>
      </c>
      <c r="P61" t="s">
        <v>236</v>
      </c>
      <c r="R61" t="s">
        <v>36</v>
      </c>
      <c r="S61" t="s">
        <v>548</v>
      </c>
      <c r="T61" t="s">
        <v>94</v>
      </c>
      <c r="U61">
        <v>46248.568634000003</v>
      </c>
      <c r="V61">
        <v>46297.589977000003</v>
      </c>
      <c r="Y61" t="s">
        <v>58</v>
      </c>
    </row>
    <row r="62" spans="2:25" x14ac:dyDescent="0.25">
      <c r="B62" t="s">
        <v>549</v>
      </c>
      <c r="C62" t="s">
        <v>550</v>
      </c>
      <c r="D62" t="s">
        <v>551</v>
      </c>
      <c r="E62">
        <v>2024</v>
      </c>
      <c r="F62" t="s">
        <v>29</v>
      </c>
      <c r="H62" t="s">
        <v>552</v>
      </c>
      <c r="I62" t="s">
        <v>553</v>
      </c>
      <c r="J62" t="s">
        <v>81</v>
      </c>
      <c r="K62" t="s">
        <v>554</v>
      </c>
      <c r="L62" t="s">
        <v>555</v>
      </c>
      <c r="N62" t="s">
        <v>556</v>
      </c>
      <c r="O62" t="s">
        <v>557</v>
      </c>
      <c r="P62" t="s">
        <v>558</v>
      </c>
      <c r="Q62" t="s">
        <v>559</v>
      </c>
      <c r="R62" t="s">
        <v>36</v>
      </c>
      <c r="S62" t="s">
        <v>560</v>
      </c>
      <c r="T62" t="s">
        <v>94</v>
      </c>
      <c r="U62">
        <v>46248.568646</v>
      </c>
      <c r="V62">
        <v>46297.590035000001</v>
      </c>
      <c r="Y62" t="s">
        <v>58</v>
      </c>
    </row>
    <row r="63" spans="2:25" x14ac:dyDescent="0.25">
      <c r="B63" t="s">
        <v>561</v>
      </c>
      <c r="C63" t="s">
        <v>562</v>
      </c>
      <c r="D63" t="s">
        <v>563</v>
      </c>
      <c r="E63">
        <v>2025</v>
      </c>
      <c r="F63" t="s">
        <v>29</v>
      </c>
      <c r="G63" t="s">
        <v>564</v>
      </c>
      <c r="I63" t="s">
        <v>565</v>
      </c>
      <c r="J63" t="s">
        <v>32</v>
      </c>
      <c r="K63" t="s">
        <v>566</v>
      </c>
      <c r="L63" t="s">
        <v>567</v>
      </c>
      <c r="N63" t="s">
        <v>568</v>
      </c>
      <c r="O63" t="s">
        <v>569</v>
      </c>
      <c r="P63" t="s">
        <v>35</v>
      </c>
      <c r="R63" t="s">
        <v>36</v>
      </c>
      <c r="S63" t="s">
        <v>37</v>
      </c>
      <c r="T63" t="s">
        <v>94</v>
      </c>
      <c r="U63">
        <v>46248.568646</v>
      </c>
      <c r="V63">
        <v>46297.590081000002</v>
      </c>
      <c r="Y63" t="s">
        <v>58</v>
      </c>
    </row>
    <row r="64" spans="2:25" x14ac:dyDescent="0.25">
      <c r="B64" t="s">
        <v>570</v>
      </c>
      <c r="C64" t="s">
        <v>571</v>
      </c>
      <c r="D64" t="s">
        <v>572</v>
      </c>
      <c r="E64">
        <v>2026</v>
      </c>
      <c r="F64" t="s">
        <v>29</v>
      </c>
      <c r="H64" t="s">
        <v>573</v>
      </c>
      <c r="I64" t="s">
        <v>574</v>
      </c>
      <c r="J64" t="s">
        <v>81</v>
      </c>
      <c r="K64" t="s">
        <v>575</v>
      </c>
      <c r="L64" t="s">
        <v>576</v>
      </c>
      <c r="N64" t="s">
        <v>577</v>
      </c>
      <c r="P64" t="s">
        <v>457</v>
      </c>
      <c r="Q64" t="s">
        <v>578</v>
      </c>
      <c r="R64" t="s">
        <v>36</v>
      </c>
      <c r="S64" t="s">
        <v>261</v>
      </c>
      <c r="T64" t="s">
        <v>87</v>
      </c>
      <c r="U64">
        <v>46248.568646</v>
      </c>
      <c r="V64">
        <v>46252.623194</v>
      </c>
      <c r="Y64" t="s">
        <v>58</v>
      </c>
    </row>
    <row r="65" spans="2:25" x14ac:dyDescent="0.25">
      <c r="B65" t="s">
        <v>579</v>
      </c>
      <c r="C65" t="s">
        <v>580</v>
      </c>
      <c r="D65" t="s">
        <v>581</v>
      </c>
      <c r="E65">
        <v>2025</v>
      </c>
      <c r="F65" t="s">
        <v>29</v>
      </c>
      <c r="G65" t="s">
        <v>582</v>
      </c>
      <c r="H65" t="s">
        <v>265</v>
      </c>
      <c r="I65" t="s">
        <v>583</v>
      </c>
      <c r="J65" t="s">
        <v>32</v>
      </c>
      <c r="K65" t="s">
        <v>584</v>
      </c>
      <c r="L65" t="s">
        <v>585</v>
      </c>
      <c r="N65" t="s">
        <v>586</v>
      </c>
      <c r="O65" t="s">
        <v>587</v>
      </c>
      <c r="P65" t="s">
        <v>588</v>
      </c>
      <c r="Q65" t="s">
        <v>589</v>
      </c>
      <c r="R65" t="s">
        <v>36</v>
      </c>
      <c r="S65" t="s">
        <v>590</v>
      </c>
      <c r="T65" t="s">
        <v>94</v>
      </c>
      <c r="U65">
        <v>46248.568646</v>
      </c>
      <c r="V65">
        <v>46297.590162</v>
      </c>
      <c r="Y65" t="s">
        <v>58</v>
      </c>
    </row>
    <row r="66" spans="2:25" x14ac:dyDescent="0.25">
      <c r="B66" t="s">
        <v>591</v>
      </c>
      <c r="C66" t="s">
        <v>592</v>
      </c>
      <c r="D66" t="s">
        <v>593</v>
      </c>
      <c r="E66">
        <v>2021</v>
      </c>
      <c r="F66" t="s">
        <v>29</v>
      </c>
      <c r="G66" t="s">
        <v>594</v>
      </c>
      <c r="H66" t="s">
        <v>595</v>
      </c>
      <c r="I66" t="s">
        <v>596</v>
      </c>
      <c r="J66" t="s">
        <v>32</v>
      </c>
      <c r="K66" t="s">
        <v>597</v>
      </c>
      <c r="L66" t="s">
        <v>598</v>
      </c>
      <c r="N66" t="s">
        <v>599</v>
      </c>
      <c r="O66" t="s">
        <v>600</v>
      </c>
      <c r="P66" t="s">
        <v>259</v>
      </c>
      <c r="Q66" t="s">
        <v>260</v>
      </c>
      <c r="R66" t="s">
        <v>36</v>
      </c>
      <c r="S66" t="s">
        <v>601</v>
      </c>
      <c r="T66" t="s">
        <v>48</v>
      </c>
      <c r="U66">
        <v>46248.568646</v>
      </c>
      <c r="V66">
        <v>46297.579941999997</v>
      </c>
      <c r="Y66" t="s">
        <v>49</v>
      </c>
    </row>
    <row r="67" spans="2:25" x14ac:dyDescent="0.25">
      <c r="B67" t="s">
        <v>602</v>
      </c>
      <c r="C67" t="s">
        <v>603</v>
      </c>
      <c r="D67" t="s">
        <v>355</v>
      </c>
      <c r="E67">
        <v>2025</v>
      </c>
      <c r="F67" t="s">
        <v>29</v>
      </c>
      <c r="G67" t="s">
        <v>604</v>
      </c>
      <c r="H67" t="s">
        <v>605</v>
      </c>
      <c r="I67" t="s">
        <v>606</v>
      </c>
      <c r="J67" t="s">
        <v>81</v>
      </c>
      <c r="K67" t="s">
        <v>607</v>
      </c>
      <c r="L67" t="s">
        <v>608</v>
      </c>
      <c r="N67" t="s">
        <v>609</v>
      </c>
      <c r="P67" t="s">
        <v>355</v>
      </c>
      <c r="Q67" t="s">
        <v>361</v>
      </c>
      <c r="R67" t="s">
        <v>36</v>
      </c>
      <c r="S67" t="s">
        <v>362</v>
      </c>
      <c r="T67" t="s">
        <v>398</v>
      </c>
      <c r="U67">
        <v>46248.568646</v>
      </c>
      <c r="V67">
        <v>46297.598668999999</v>
      </c>
      <c r="Y67" t="s">
        <v>58</v>
      </c>
    </row>
    <row r="68" spans="2:25" x14ac:dyDescent="0.25">
      <c r="B68" t="s">
        <v>610</v>
      </c>
      <c r="C68" t="s">
        <v>611</v>
      </c>
      <c r="D68" t="s">
        <v>612</v>
      </c>
      <c r="E68">
        <v>2025</v>
      </c>
      <c r="F68" t="s">
        <v>29</v>
      </c>
      <c r="G68" t="s">
        <v>613</v>
      </c>
      <c r="H68" t="s">
        <v>209</v>
      </c>
      <c r="I68" t="s">
        <v>614</v>
      </c>
      <c r="J68" t="s">
        <v>81</v>
      </c>
      <c r="K68" t="s">
        <v>615</v>
      </c>
      <c r="L68" t="s">
        <v>616</v>
      </c>
      <c r="N68" t="s">
        <v>617</v>
      </c>
      <c r="O68" t="s">
        <v>618</v>
      </c>
      <c r="P68" t="s">
        <v>619</v>
      </c>
      <c r="Q68" t="s">
        <v>620</v>
      </c>
      <c r="R68" t="s">
        <v>36</v>
      </c>
      <c r="S68" t="s">
        <v>621</v>
      </c>
      <c r="T68" t="s">
        <v>94</v>
      </c>
      <c r="U68">
        <v>46248.568646</v>
      </c>
      <c r="V68">
        <v>46297.590312</v>
      </c>
      <c r="Y68" t="s">
        <v>58</v>
      </c>
    </row>
    <row r="69" spans="2:25" x14ac:dyDescent="0.25">
      <c r="B69" t="s">
        <v>622</v>
      </c>
      <c r="C69" t="s">
        <v>623</v>
      </c>
      <c r="D69" t="s">
        <v>624</v>
      </c>
      <c r="E69">
        <v>2025</v>
      </c>
      <c r="F69" t="s">
        <v>29</v>
      </c>
      <c r="G69" t="s">
        <v>625</v>
      </c>
      <c r="H69" t="s">
        <v>626</v>
      </c>
      <c r="I69" t="s">
        <v>627</v>
      </c>
      <c r="J69" t="s">
        <v>32</v>
      </c>
      <c r="K69" t="s">
        <v>628</v>
      </c>
      <c r="L69" t="s">
        <v>629</v>
      </c>
      <c r="N69" t="s">
        <v>630</v>
      </c>
      <c r="O69" t="s">
        <v>631</v>
      </c>
      <c r="P69" t="s">
        <v>632</v>
      </c>
      <c r="Q69" t="s">
        <v>633</v>
      </c>
      <c r="R69" t="s">
        <v>36</v>
      </c>
      <c r="S69" t="s">
        <v>261</v>
      </c>
      <c r="T69" t="s">
        <v>94</v>
      </c>
      <c r="U69">
        <v>46248.568646</v>
      </c>
      <c r="V69">
        <v>46297.590369999998</v>
      </c>
      <c r="Y69" t="s">
        <v>58</v>
      </c>
    </row>
    <row r="70" spans="2:25" x14ac:dyDescent="0.25">
      <c r="B70" t="s">
        <v>634</v>
      </c>
      <c r="C70" t="s">
        <v>635</v>
      </c>
      <c r="D70" t="s">
        <v>612</v>
      </c>
      <c r="E70">
        <v>2023</v>
      </c>
      <c r="F70" t="s">
        <v>29</v>
      </c>
      <c r="G70" t="s">
        <v>636</v>
      </c>
      <c r="H70" t="s">
        <v>99</v>
      </c>
      <c r="I70" t="s">
        <v>637</v>
      </c>
      <c r="J70" t="s">
        <v>81</v>
      </c>
      <c r="K70" t="s">
        <v>638</v>
      </c>
      <c r="L70" t="s">
        <v>639</v>
      </c>
      <c r="N70" t="s">
        <v>640</v>
      </c>
      <c r="O70" t="s">
        <v>641</v>
      </c>
      <c r="P70" t="s">
        <v>619</v>
      </c>
      <c r="Q70" t="s">
        <v>620</v>
      </c>
      <c r="R70" t="s">
        <v>36</v>
      </c>
      <c r="S70" t="s">
        <v>642</v>
      </c>
      <c r="T70" t="s">
        <v>94</v>
      </c>
      <c r="U70">
        <v>46248.568646</v>
      </c>
      <c r="V70">
        <v>46297.590428000003</v>
      </c>
      <c r="Y70" t="s">
        <v>58</v>
      </c>
    </row>
    <row r="71" spans="2:25" x14ac:dyDescent="0.25">
      <c r="B71" t="s">
        <v>643</v>
      </c>
      <c r="C71" t="s">
        <v>644</v>
      </c>
      <c r="D71" t="s">
        <v>645</v>
      </c>
      <c r="E71">
        <v>2022</v>
      </c>
      <c r="F71" t="s">
        <v>29</v>
      </c>
      <c r="G71" t="s">
        <v>646</v>
      </c>
      <c r="H71" t="s">
        <v>647</v>
      </c>
      <c r="I71" t="s">
        <v>648</v>
      </c>
      <c r="J71" t="s">
        <v>81</v>
      </c>
      <c r="L71" t="s">
        <v>649</v>
      </c>
      <c r="N71" t="s">
        <v>650</v>
      </c>
      <c r="P71" t="s">
        <v>651</v>
      </c>
      <c r="Q71" t="s">
        <v>652</v>
      </c>
      <c r="R71" t="s">
        <v>36</v>
      </c>
      <c r="S71" t="s">
        <v>37</v>
      </c>
      <c r="T71" t="s">
        <v>398</v>
      </c>
      <c r="U71">
        <v>46248.568646</v>
      </c>
      <c r="V71">
        <v>46297.598762000001</v>
      </c>
      <c r="Y71" t="s">
        <v>58</v>
      </c>
    </row>
    <row r="72" spans="2:25" x14ac:dyDescent="0.25">
      <c r="B72" t="s">
        <v>653</v>
      </c>
      <c r="C72" t="s">
        <v>654</v>
      </c>
      <c r="D72" t="s">
        <v>355</v>
      </c>
      <c r="E72">
        <v>2025</v>
      </c>
      <c r="F72" t="s">
        <v>29</v>
      </c>
      <c r="G72" t="s">
        <v>655</v>
      </c>
      <c r="H72" t="s">
        <v>605</v>
      </c>
      <c r="I72" t="s">
        <v>656</v>
      </c>
      <c r="J72" t="s">
        <v>81</v>
      </c>
      <c r="K72" t="s">
        <v>657</v>
      </c>
      <c r="L72" t="s">
        <v>658</v>
      </c>
      <c r="N72" t="s">
        <v>659</v>
      </c>
      <c r="P72" t="s">
        <v>355</v>
      </c>
      <c r="Q72" t="s">
        <v>361</v>
      </c>
      <c r="R72" t="s">
        <v>36</v>
      </c>
      <c r="S72" t="s">
        <v>660</v>
      </c>
      <c r="T72" t="s">
        <v>87</v>
      </c>
      <c r="U72">
        <v>46248.568646</v>
      </c>
      <c r="V72">
        <v>46252.608448999999</v>
      </c>
      <c r="Y72" t="s">
        <v>58</v>
      </c>
    </row>
    <row r="73" spans="2:25" x14ac:dyDescent="0.25">
      <c r="B73" t="s">
        <v>661</v>
      </c>
      <c r="C73" t="s">
        <v>662</v>
      </c>
      <c r="D73" t="s">
        <v>663</v>
      </c>
      <c r="E73">
        <v>2025</v>
      </c>
      <c r="F73" t="s">
        <v>29</v>
      </c>
      <c r="G73" t="s">
        <v>664</v>
      </c>
      <c r="I73" t="s">
        <v>665</v>
      </c>
      <c r="J73" t="s">
        <v>32</v>
      </c>
      <c r="K73" t="s">
        <v>666</v>
      </c>
      <c r="L73" t="s">
        <v>667</v>
      </c>
      <c r="N73" t="s">
        <v>668</v>
      </c>
      <c r="O73" t="s">
        <v>669</v>
      </c>
      <c r="P73" t="s">
        <v>35</v>
      </c>
      <c r="R73" t="s">
        <v>36</v>
      </c>
      <c r="S73" t="s">
        <v>37</v>
      </c>
      <c r="T73" t="s">
        <v>87</v>
      </c>
      <c r="U73">
        <v>46248.568634000003</v>
      </c>
      <c r="V73">
        <v>46252.591933000003</v>
      </c>
      <c r="Y73" t="s">
        <v>58</v>
      </c>
    </row>
    <row r="74" spans="2:25" x14ac:dyDescent="0.25">
      <c r="B74" t="s">
        <v>670</v>
      </c>
      <c r="C74" t="s">
        <v>671</v>
      </c>
      <c r="E74">
        <v>2026</v>
      </c>
      <c r="F74" t="s">
        <v>672</v>
      </c>
      <c r="G74" t="s">
        <v>673</v>
      </c>
      <c r="I74" t="s">
        <v>674</v>
      </c>
      <c r="P74" t="s">
        <v>675</v>
      </c>
      <c r="T74" t="s">
        <v>94</v>
      </c>
      <c r="U74">
        <v>46248.588460999999</v>
      </c>
      <c r="V74">
        <v>46297.590556000003</v>
      </c>
      <c r="Y74" t="s">
        <v>58</v>
      </c>
    </row>
    <row r="75" spans="2:25" x14ac:dyDescent="0.25">
      <c r="B75" t="s">
        <v>676</v>
      </c>
      <c r="C75" t="s">
        <v>677</v>
      </c>
      <c r="D75" t="s">
        <v>678</v>
      </c>
      <c r="E75">
        <v>2023</v>
      </c>
      <c r="F75" t="s">
        <v>29</v>
      </c>
      <c r="H75" t="s">
        <v>605</v>
      </c>
      <c r="I75" t="s">
        <v>679</v>
      </c>
      <c r="J75" t="s">
        <v>81</v>
      </c>
      <c r="K75" t="s">
        <v>680</v>
      </c>
      <c r="L75" t="s">
        <v>681</v>
      </c>
      <c r="N75" t="s">
        <v>682</v>
      </c>
      <c r="O75" t="s">
        <v>683</v>
      </c>
      <c r="P75" t="s">
        <v>225</v>
      </c>
      <c r="Q75" t="s">
        <v>684</v>
      </c>
      <c r="R75" t="s">
        <v>36</v>
      </c>
      <c r="S75" t="s">
        <v>685</v>
      </c>
      <c r="T75" t="s">
        <v>87</v>
      </c>
      <c r="U75">
        <v>46248.568646</v>
      </c>
      <c r="V75">
        <v>46252.586898000001</v>
      </c>
      <c r="Y75" t="s">
        <v>58</v>
      </c>
    </row>
    <row r="76" spans="2:25" x14ac:dyDescent="0.25">
      <c r="B76" t="s">
        <v>686</v>
      </c>
      <c r="C76" t="s">
        <v>687</v>
      </c>
      <c r="D76" t="s">
        <v>688</v>
      </c>
      <c r="E76">
        <v>2025</v>
      </c>
      <c r="F76" t="s">
        <v>29</v>
      </c>
      <c r="G76" t="s">
        <v>689</v>
      </c>
      <c r="H76" t="s">
        <v>690</v>
      </c>
      <c r="I76" t="s">
        <v>691</v>
      </c>
      <c r="J76" t="s">
        <v>81</v>
      </c>
      <c r="K76" t="s">
        <v>692</v>
      </c>
      <c r="L76" t="s">
        <v>693</v>
      </c>
      <c r="N76" t="s">
        <v>694</v>
      </c>
      <c r="O76" t="s">
        <v>695</v>
      </c>
      <c r="P76" t="s">
        <v>102</v>
      </c>
      <c r="Q76" t="s">
        <v>696</v>
      </c>
      <c r="R76" t="s">
        <v>36</v>
      </c>
      <c r="S76" t="s">
        <v>697</v>
      </c>
      <c r="T76" t="s">
        <v>94</v>
      </c>
      <c r="U76">
        <v>46248.568646</v>
      </c>
      <c r="V76">
        <v>46297.590624999997</v>
      </c>
      <c r="Y76" t="s">
        <v>58</v>
      </c>
    </row>
    <row r="77" spans="2:25" x14ac:dyDescent="0.25">
      <c r="B77" t="s">
        <v>698</v>
      </c>
      <c r="C77" t="s">
        <v>699</v>
      </c>
      <c r="D77" t="s">
        <v>700</v>
      </c>
      <c r="E77">
        <v>2022</v>
      </c>
      <c r="F77" t="s">
        <v>29</v>
      </c>
      <c r="G77" t="s">
        <v>701</v>
      </c>
      <c r="I77" t="s">
        <v>702</v>
      </c>
      <c r="J77" t="s">
        <v>32</v>
      </c>
      <c r="K77" t="s">
        <v>703</v>
      </c>
      <c r="L77" t="s">
        <v>704</v>
      </c>
      <c r="N77" t="s">
        <v>705</v>
      </c>
      <c r="O77" t="s">
        <v>706</v>
      </c>
      <c r="P77" t="s">
        <v>35</v>
      </c>
      <c r="R77" t="s">
        <v>36</v>
      </c>
      <c r="S77" t="s">
        <v>248</v>
      </c>
      <c r="T77" t="s">
        <v>48</v>
      </c>
      <c r="U77">
        <v>46248.568646</v>
      </c>
      <c r="V77">
        <v>46297.572870000004</v>
      </c>
      <c r="Y77" t="s">
        <v>49</v>
      </c>
    </row>
    <row r="78" spans="2:25" x14ac:dyDescent="0.25">
      <c r="B78" t="s">
        <v>707</v>
      </c>
      <c r="C78" t="s">
        <v>708</v>
      </c>
      <c r="D78" t="s">
        <v>709</v>
      </c>
      <c r="E78">
        <v>2025</v>
      </c>
      <c r="F78" t="s">
        <v>29</v>
      </c>
      <c r="G78" t="s">
        <v>710</v>
      </c>
      <c r="H78" t="s">
        <v>711</v>
      </c>
      <c r="I78" t="s">
        <v>712</v>
      </c>
      <c r="J78" t="s">
        <v>81</v>
      </c>
      <c r="L78" t="s">
        <v>713</v>
      </c>
      <c r="N78" t="s">
        <v>714</v>
      </c>
      <c r="P78" t="s">
        <v>715</v>
      </c>
      <c r="Q78" t="s">
        <v>716</v>
      </c>
      <c r="R78" t="s">
        <v>36</v>
      </c>
      <c r="S78" t="s">
        <v>261</v>
      </c>
      <c r="T78" t="s">
        <v>57</v>
      </c>
      <c r="U78">
        <v>46248.568634000003</v>
      </c>
      <c r="V78">
        <v>46297.585578999999</v>
      </c>
      <c r="Y78" t="s">
        <v>58</v>
      </c>
    </row>
    <row r="79" spans="2:25" x14ac:dyDescent="0.25">
      <c r="B79" t="s">
        <v>717</v>
      </c>
      <c r="C79" t="s">
        <v>718</v>
      </c>
      <c r="D79" t="s">
        <v>719</v>
      </c>
      <c r="E79">
        <v>2026</v>
      </c>
      <c r="F79" t="s">
        <v>29</v>
      </c>
      <c r="H79" t="s">
        <v>720</v>
      </c>
      <c r="I79" t="s">
        <v>721</v>
      </c>
      <c r="J79" t="s">
        <v>81</v>
      </c>
      <c r="K79" t="s">
        <v>722</v>
      </c>
      <c r="L79" t="s">
        <v>723</v>
      </c>
      <c r="N79" t="s">
        <v>724</v>
      </c>
      <c r="O79" t="s">
        <v>725</v>
      </c>
      <c r="P79" t="s">
        <v>726</v>
      </c>
      <c r="Q79" t="s">
        <v>727</v>
      </c>
      <c r="R79" t="s">
        <v>36</v>
      </c>
      <c r="S79" t="s">
        <v>362</v>
      </c>
      <c r="T79" t="s">
        <v>87</v>
      </c>
      <c r="U79">
        <v>46248.568634000003</v>
      </c>
      <c r="V79">
        <v>46252.560774999998</v>
      </c>
      <c r="Y79" t="s">
        <v>58</v>
      </c>
    </row>
    <row r="80" spans="2:25" x14ac:dyDescent="0.25">
      <c r="B80" t="s">
        <v>728</v>
      </c>
      <c r="C80" t="s">
        <v>729</v>
      </c>
      <c r="D80" t="s">
        <v>462</v>
      </c>
      <c r="E80">
        <v>2025</v>
      </c>
      <c r="F80" t="s">
        <v>29</v>
      </c>
      <c r="G80" t="s">
        <v>730</v>
      </c>
      <c r="H80" t="s">
        <v>731</v>
      </c>
      <c r="I80" t="s">
        <v>732</v>
      </c>
      <c r="J80" t="s">
        <v>32</v>
      </c>
      <c r="K80" t="s">
        <v>733</v>
      </c>
      <c r="L80" t="s">
        <v>734</v>
      </c>
      <c r="N80" t="s">
        <v>735</v>
      </c>
      <c r="O80" t="s">
        <v>736</v>
      </c>
      <c r="P80" t="s">
        <v>259</v>
      </c>
      <c r="Q80" t="s">
        <v>470</v>
      </c>
      <c r="R80" t="s">
        <v>36</v>
      </c>
      <c r="S80" t="s">
        <v>737</v>
      </c>
      <c r="T80" t="s">
        <v>87</v>
      </c>
      <c r="U80">
        <v>46248.568634000003</v>
      </c>
      <c r="V80">
        <v>46252.559802999996</v>
      </c>
      <c r="Y80" t="s">
        <v>58</v>
      </c>
    </row>
    <row r="81" spans="2:25" x14ac:dyDescent="0.25">
      <c r="B81" t="s">
        <v>738</v>
      </c>
      <c r="C81" t="s">
        <v>739</v>
      </c>
      <c r="D81" t="s">
        <v>740</v>
      </c>
      <c r="E81">
        <v>2023</v>
      </c>
      <c r="F81" t="s">
        <v>29</v>
      </c>
      <c r="G81" t="s">
        <v>741</v>
      </c>
      <c r="H81" t="s">
        <v>647</v>
      </c>
      <c r="I81" t="s">
        <v>742</v>
      </c>
      <c r="J81" t="s">
        <v>81</v>
      </c>
      <c r="K81" t="s">
        <v>743</v>
      </c>
      <c r="L81" t="s">
        <v>744</v>
      </c>
      <c r="N81" t="s">
        <v>745</v>
      </c>
      <c r="P81" t="s">
        <v>746</v>
      </c>
      <c r="Q81" t="s">
        <v>747</v>
      </c>
      <c r="R81" t="s">
        <v>36</v>
      </c>
      <c r="S81" t="s">
        <v>490</v>
      </c>
      <c r="T81" t="s">
        <v>87</v>
      </c>
      <c r="U81">
        <v>46248.568634000003</v>
      </c>
      <c r="V81">
        <v>46252.557788999999</v>
      </c>
      <c r="Y81" t="s">
        <v>58</v>
      </c>
    </row>
    <row r="82" spans="2:25" x14ac:dyDescent="0.25">
      <c r="B82" t="s">
        <v>748</v>
      </c>
      <c r="C82" t="s">
        <v>749</v>
      </c>
      <c r="D82" t="s">
        <v>572</v>
      </c>
      <c r="E82">
        <v>2022</v>
      </c>
      <c r="F82" t="s">
        <v>29</v>
      </c>
      <c r="G82" t="s">
        <v>750</v>
      </c>
      <c r="H82" t="s">
        <v>751</v>
      </c>
      <c r="I82" t="s">
        <v>752</v>
      </c>
      <c r="J82" t="s">
        <v>81</v>
      </c>
      <c r="K82" t="s">
        <v>753</v>
      </c>
      <c r="L82" t="s">
        <v>754</v>
      </c>
      <c r="N82" t="s">
        <v>755</v>
      </c>
      <c r="P82" t="s">
        <v>457</v>
      </c>
      <c r="Q82" t="s">
        <v>578</v>
      </c>
      <c r="R82" t="s">
        <v>36</v>
      </c>
      <c r="S82" t="s">
        <v>756</v>
      </c>
      <c r="T82" t="s">
        <v>398</v>
      </c>
      <c r="U82">
        <v>46248.568634000003</v>
      </c>
      <c r="V82">
        <v>46297.598912000001</v>
      </c>
      <c r="Y82" t="s">
        <v>58</v>
      </c>
    </row>
    <row r="83" spans="2:25" x14ac:dyDescent="0.25">
      <c r="B83" t="s">
        <v>757</v>
      </c>
      <c r="C83" t="s">
        <v>758</v>
      </c>
      <c r="D83" t="s">
        <v>759</v>
      </c>
      <c r="E83">
        <v>2026</v>
      </c>
      <c r="F83" t="s">
        <v>29</v>
      </c>
      <c r="H83" t="s">
        <v>760</v>
      </c>
      <c r="I83" t="s">
        <v>761</v>
      </c>
      <c r="J83" t="s">
        <v>81</v>
      </c>
      <c r="K83" t="s">
        <v>762</v>
      </c>
      <c r="L83" t="s">
        <v>763</v>
      </c>
      <c r="N83" t="s">
        <v>764</v>
      </c>
      <c r="O83" t="s">
        <v>765</v>
      </c>
      <c r="P83" t="s">
        <v>766</v>
      </c>
      <c r="Q83" t="s">
        <v>767</v>
      </c>
      <c r="R83" t="s">
        <v>36</v>
      </c>
      <c r="S83" t="s">
        <v>768</v>
      </c>
      <c r="T83" t="s">
        <v>398</v>
      </c>
      <c r="U83">
        <v>46248.568634000003</v>
      </c>
      <c r="V83">
        <v>46297.598946999999</v>
      </c>
      <c r="Y83" t="s">
        <v>58</v>
      </c>
    </row>
    <row r="84" spans="2:25" x14ac:dyDescent="0.25">
      <c r="B84" t="s">
        <v>769</v>
      </c>
      <c r="C84" t="s">
        <v>770</v>
      </c>
      <c r="D84" t="s">
        <v>593</v>
      </c>
      <c r="E84">
        <v>2024</v>
      </c>
      <c r="F84" t="s">
        <v>29</v>
      </c>
      <c r="G84" t="s">
        <v>771</v>
      </c>
      <c r="H84" t="s">
        <v>772</v>
      </c>
      <c r="I84" t="s">
        <v>773</v>
      </c>
      <c r="J84" t="s">
        <v>32</v>
      </c>
      <c r="K84" t="s">
        <v>774</v>
      </c>
      <c r="L84" t="s">
        <v>775</v>
      </c>
      <c r="N84" t="s">
        <v>776</v>
      </c>
      <c r="O84" t="s">
        <v>777</v>
      </c>
      <c r="P84" t="s">
        <v>259</v>
      </c>
      <c r="Q84" t="s">
        <v>260</v>
      </c>
      <c r="R84" t="s">
        <v>36</v>
      </c>
      <c r="S84" t="s">
        <v>37</v>
      </c>
      <c r="T84" t="s">
        <v>87</v>
      </c>
      <c r="U84">
        <v>46248.568634000003</v>
      </c>
      <c r="V84">
        <v>46252.561192000001</v>
      </c>
      <c r="Y84" t="s">
        <v>58</v>
      </c>
    </row>
    <row r="85" spans="2:25" x14ac:dyDescent="0.25">
      <c r="B85" t="s">
        <v>778</v>
      </c>
      <c r="C85" t="s">
        <v>779</v>
      </c>
      <c r="D85" t="s">
        <v>780</v>
      </c>
      <c r="E85">
        <v>2022</v>
      </c>
      <c r="F85" t="s">
        <v>29</v>
      </c>
      <c r="H85" t="s">
        <v>552</v>
      </c>
      <c r="I85" t="s">
        <v>781</v>
      </c>
      <c r="J85" t="s">
        <v>81</v>
      </c>
      <c r="K85" t="s">
        <v>782</v>
      </c>
      <c r="L85" t="s">
        <v>783</v>
      </c>
      <c r="N85" t="s">
        <v>784</v>
      </c>
      <c r="O85" t="s">
        <v>785</v>
      </c>
      <c r="P85" t="s">
        <v>236</v>
      </c>
      <c r="Q85" t="s">
        <v>786</v>
      </c>
      <c r="R85" t="s">
        <v>36</v>
      </c>
      <c r="S85" t="s">
        <v>787</v>
      </c>
      <c r="T85" t="s">
        <v>87</v>
      </c>
      <c r="U85">
        <v>46248.568634000003</v>
      </c>
      <c r="V85">
        <v>46252.560961000003</v>
      </c>
      <c r="Y85" t="s">
        <v>58</v>
      </c>
    </row>
    <row r="86" spans="2:25" x14ac:dyDescent="0.25">
      <c r="B86" t="s">
        <v>788</v>
      </c>
      <c r="C86" t="s">
        <v>789</v>
      </c>
      <c r="D86" t="s">
        <v>790</v>
      </c>
      <c r="E86">
        <v>2024</v>
      </c>
      <c r="F86" t="s">
        <v>29</v>
      </c>
      <c r="H86" t="s">
        <v>99</v>
      </c>
      <c r="I86" t="s">
        <v>791</v>
      </c>
      <c r="J86" t="s">
        <v>81</v>
      </c>
      <c r="K86" t="s">
        <v>792</v>
      </c>
      <c r="L86" t="s">
        <v>793</v>
      </c>
      <c r="N86" t="s">
        <v>794</v>
      </c>
      <c r="P86" t="s">
        <v>225</v>
      </c>
      <c r="Q86" t="s">
        <v>795</v>
      </c>
      <c r="R86" t="s">
        <v>36</v>
      </c>
      <c r="S86" t="s">
        <v>796</v>
      </c>
      <c r="T86" t="s">
        <v>398</v>
      </c>
      <c r="U86">
        <v>46248.568634000003</v>
      </c>
      <c r="V86">
        <v>46297.599004999996</v>
      </c>
      <c r="Y86" t="s">
        <v>58</v>
      </c>
    </row>
    <row r="87" spans="2:25" x14ac:dyDescent="0.25">
      <c r="B87" t="s">
        <v>797</v>
      </c>
      <c r="C87" t="s">
        <v>798</v>
      </c>
      <c r="D87" t="s">
        <v>219</v>
      </c>
      <c r="E87">
        <v>2021</v>
      </c>
      <c r="F87" t="s">
        <v>29</v>
      </c>
      <c r="H87" t="s">
        <v>318</v>
      </c>
      <c r="I87" t="s">
        <v>799</v>
      </c>
      <c r="J87" t="s">
        <v>81</v>
      </c>
      <c r="K87" t="s">
        <v>800</v>
      </c>
      <c r="L87" t="s">
        <v>801</v>
      </c>
      <c r="N87" t="s">
        <v>802</v>
      </c>
      <c r="P87" t="s">
        <v>803</v>
      </c>
      <c r="Q87" t="s">
        <v>226</v>
      </c>
      <c r="R87" t="s">
        <v>36</v>
      </c>
      <c r="S87" t="s">
        <v>804</v>
      </c>
      <c r="T87" t="s">
        <v>94</v>
      </c>
      <c r="U87">
        <v>46248.568634000003</v>
      </c>
      <c r="V87">
        <v>46297.590833000002</v>
      </c>
      <c r="Y87" t="s">
        <v>58</v>
      </c>
    </row>
    <row r="88" spans="2:25" x14ac:dyDescent="0.25">
      <c r="B88" t="s">
        <v>805</v>
      </c>
      <c r="C88" t="s">
        <v>806</v>
      </c>
      <c r="D88" t="s">
        <v>807</v>
      </c>
      <c r="E88">
        <v>2025</v>
      </c>
      <c r="F88" t="s">
        <v>29</v>
      </c>
      <c r="G88" t="s">
        <v>808</v>
      </c>
      <c r="H88" t="s">
        <v>809</v>
      </c>
      <c r="I88" t="s">
        <v>810</v>
      </c>
      <c r="J88" t="s">
        <v>32</v>
      </c>
      <c r="K88" t="s">
        <v>811</v>
      </c>
      <c r="L88" t="s">
        <v>812</v>
      </c>
      <c r="N88" t="s">
        <v>813</v>
      </c>
      <c r="O88" t="s">
        <v>814</v>
      </c>
      <c r="P88" t="s">
        <v>632</v>
      </c>
      <c r="Q88" t="s">
        <v>815</v>
      </c>
      <c r="R88" t="s">
        <v>36</v>
      </c>
      <c r="S88" t="s">
        <v>422</v>
      </c>
      <c r="T88" t="s">
        <v>94</v>
      </c>
      <c r="U88">
        <v>46248.568646</v>
      </c>
      <c r="V88">
        <v>46297.590880000003</v>
      </c>
      <c r="Y88" t="s">
        <v>58</v>
      </c>
    </row>
    <row r="89" spans="2:25" x14ac:dyDescent="0.25">
      <c r="B89" t="s">
        <v>335</v>
      </c>
      <c r="C89" t="s">
        <v>336</v>
      </c>
      <c r="E89">
        <v>2024</v>
      </c>
      <c r="F89" t="s">
        <v>127</v>
      </c>
      <c r="G89" t="s">
        <v>816</v>
      </c>
      <c r="I89" t="s">
        <v>31</v>
      </c>
      <c r="K89" t="s">
        <v>340</v>
      </c>
      <c r="O89" t="s">
        <v>817</v>
      </c>
      <c r="T89" t="s">
        <v>48</v>
      </c>
      <c r="U89">
        <v>46248.587939999998</v>
      </c>
      <c r="V89">
        <v>46297.572905000001</v>
      </c>
      <c r="Y89" t="s">
        <v>49</v>
      </c>
    </row>
    <row r="90" spans="2:25" x14ac:dyDescent="0.25">
      <c r="B90" t="s">
        <v>818</v>
      </c>
      <c r="C90" t="s">
        <v>819</v>
      </c>
      <c r="D90" t="s">
        <v>251</v>
      </c>
      <c r="E90">
        <v>2025</v>
      </c>
      <c r="F90" t="s">
        <v>29</v>
      </c>
      <c r="G90" t="s">
        <v>820</v>
      </c>
      <c r="H90" t="s">
        <v>821</v>
      </c>
      <c r="I90" t="s">
        <v>822</v>
      </c>
      <c r="J90" t="s">
        <v>32</v>
      </c>
      <c r="K90" t="s">
        <v>823</v>
      </c>
      <c r="L90" t="s">
        <v>824</v>
      </c>
      <c r="N90" t="s">
        <v>825</v>
      </c>
      <c r="O90" t="s">
        <v>826</v>
      </c>
      <c r="P90" t="s">
        <v>259</v>
      </c>
      <c r="Q90" t="s">
        <v>260</v>
      </c>
      <c r="R90" t="s">
        <v>36</v>
      </c>
      <c r="S90" t="s">
        <v>37</v>
      </c>
      <c r="T90" t="s">
        <v>87</v>
      </c>
      <c r="U90">
        <v>46248.568634000003</v>
      </c>
      <c r="V90">
        <v>46251.845566999997</v>
      </c>
      <c r="Y90" t="s">
        <v>58</v>
      </c>
    </row>
    <row r="91" spans="2:25" x14ac:dyDescent="0.25">
      <c r="B91" t="s">
        <v>827</v>
      </c>
      <c r="C91" t="s">
        <v>828</v>
      </c>
      <c r="D91" t="s">
        <v>829</v>
      </c>
      <c r="E91">
        <v>2025</v>
      </c>
      <c r="F91" t="s">
        <v>29</v>
      </c>
      <c r="I91" t="s">
        <v>830</v>
      </c>
      <c r="J91" t="s">
        <v>32</v>
      </c>
      <c r="K91" t="s">
        <v>831</v>
      </c>
      <c r="L91" t="s">
        <v>832</v>
      </c>
      <c r="N91" t="s">
        <v>833</v>
      </c>
      <c r="O91" t="s">
        <v>834</v>
      </c>
      <c r="P91" t="s">
        <v>35</v>
      </c>
      <c r="R91" t="s">
        <v>36</v>
      </c>
      <c r="S91" t="s">
        <v>37</v>
      </c>
      <c r="T91" t="s">
        <v>87</v>
      </c>
      <c r="U91">
        <v>46248.568634000003</v>
      </c>
      <c r="V91">
        <v>46252.785844999999</v>
      </c>
      <c r="Y91" t="s">
        <v>58</v>
      </c>
    </row>
    <row r="92" spans="2:25" x14ac:dyDescent="0.25">
      <c r="B92" t="s">
        <v>835</v>
      </c>
      <c r="C92" t="s">
        <v>836</v>
      </c>
      <c r="D92" t="s">
        <v>837</v>
      </c>
      <c r="E92">
        <v>2024</v>
      </c>
      <c r="F92" t="s">
        <v>29</v>
      </c>
      <c r="G92" t="s">
        <v>838</v>
      </c>
      <c r="H92" t="s">
        <v>839</v>
      </c>
      <c r="I92" t="s">
        <v>840</v>
      </c>
      <c r="J92" t="s">
        <v>81</v>
      </c>
      <c r="L92" t="s">
        <v>841</v>
      </c>
      <c r="N92" t="s">
        <v>842</v>
      </c>
      <c r="P92" t="s">
        <v>843</v>
      </c>
      <c r="Q92" t="s">
        <v>844</v>
      </c>
      <c r="R92" t="s">
        <v>36</v>
      </c>
      <c r="S92" t="s">
        <v>845</v>
      </c>
      <c r="T92" t="s">
        <v>87</v>
      </c>
      <c r="U92">
        <v>46248.568634000003</v>
      </c>
      <c r="V92">
        <v>46251.841586000002</v>
      </c>
      <c r="Y92" t="s">
        <v>58</v>
      </c>
    </row>
    <row r="93" spans="2:25" x14ac:dyDescent="0.25">
      <c r="B93" t="s">
        <v>846</v>
      </c>
      <c r="C93" t="s">
        <v>847</v>
      </c>
      <c r="D93" t="s">
        <v>848</v>
      </c>
      <c r="E93">
        <v>2024</v>
      </c>
      <c r="F93" t="s">
        <v>29</v>
      </c>
      <c r="G93" t="s">
        <v>849</v>
      </c>
      <c r="I93" t="s">
        <v>850</v>
      </c>
      <c r="J93" t="s">
        <v>32</v>
      </c>
      <c r="K93" t="s">
        <v>851</v>
      </c>
      <c r="L93" t="s">
        <v>852</v>
      </c>
      <c r="N93" t="s">
        <v>853</v>
      </c>
      <c r="O93" t="s">
        <v>854</v>
      </c>
      <c r="P93" t="s">
        <v>35</v>
      </c>
      <c r="R93" t="s">
        <v>36</v>
      </c>
      <c r="S93" t="s">
        <v>538</v>
      </c>
      <c r="T93" t="s">
        <v>398</v>
      </c>
      <c r="U93">
        <v>46248.568634000003</v>
      </c>
      <c r="V93">
        <v>46297.599132000003</v>
      </c>
      <c r="Y93" t="s">
        <v>58</v>
      </c>
    </row>
    <row r="94" spans="2:25" x14ac:dyDescent="0.25">
      <c r="B94" t="s">
        <v>855</v>
      </c>
      <c r="C94" t="s">
        <v>856</v>
      </c>
      <c r="D94" t="s">
        <v>294</v>
      </c>
      <c r="E94">
        <v>2024</v>
      </c>
      <c r="F94" t="s">
        <v>29</v>
      </c>
      <c r="G94" t="s">
        <v>857</v>
      </c>
      <c r="H94" t="s">
        <v>318</v>
      </c>
      <c r="I94" t="s">
        <v>858</v>
      </c>
      <c r="J94" t="s">
        <v>81</v>
      </c>
      <c r="K94" t="s">
        <v>859</v>
      </c>
      <c r="L94" t="s">
        <v>860</v>
      </c>
      <c r="N94" t="s">
        <v>861</v>
      </c>
      <c r="P94" t="s">
        <v>259</v>
      </c>
      <c r="Q94" t="s">
        <v>301</v>
      </c>
      <c r="R94" t="s">
        <v>36</v>
      </c>
      <c r="S94" t="s">
        <v>601</v>
      </c>
      <c r="T94" t="s">
        <v>87</v>
      </c>
      <c r="U94">
        <v>46248.568646</v>
      </c>
      <c r="V94">
        <v>46248.618021000002</v>
      </c>
      <c r="Y94" t="s">
        <v>58</v>
      </c>
    </row>
    <row r="95" spans="2:25" x14ac:dyDescent="0.25">
      <c r="B95" t="s">
        <v>862</v>
      </c>
      <c r="C95" t="s">
        <v>863</v>
      </c>
      <c r="D95" t="s">
        <v>864</v>
      </c>
      <c r="E95">
        <v>2024</v>
      </c>
      <c r="F95" t="s">
        <v>29</v>
      </c>
      <c r="I95" t="s">
        <v>865</v>
      </c>
      <c r="J95" t="s">
        <v>32</v>
      </c>
      <c r="K95" t="s">
        <v>866</v>
      </c>
      <c r="L95" t="s">
        <v>867</v>
      </c>
      <c r="N95" t="s">
        <v>868</v>
      </c>
      <c r="O95" t="s">
        <v>869</v>
      </c>
      <c r="P95" t="s">
        <v>35</v>
      </c>
      <c r="R95" t="s">
        <v>36</v>
      </c>
      <c r="S95" t="s">
        <v>870</v>
      </c>
      <c r="T95" t="s">
        <v>94</v>
      </c>
      <c r="U95">
        <v>46248.568646</v>
      </c>
      <c r="V95">
        <v>46297.591007000003</v>
      </c>
      <c r="Y95" t="s">
        <v>58</v>
      </c>
    </row>
    <row r="96" spans="2:25" x14ac:dyDescent="0.25">
      <c r="B96" t="s">
        <v>871</v>
      </c>
      <c r="C96" t="s">
        <v>872</v>
      </c>
      <c r="D96" t="s">
        <v>873</v>
      </c>
      <c r="E96">
        <v>2024</v>
      </c>
      <c r="F96" t="s">
        <v>29</v>
      </c>
      <c r="G96" t="s">
        <v>874</v>
      </c>
      <c r="H96" t="s">
        <v>391</v>
      </c>
      <c r="I96" t="s">
        <v>875</v>
      </c>
      <c r="J96" t="s">
        <v>81</v>
      </c>
      <c r="K96" t="s">
        <v>876</v>
      </c>
      <c r="L96" t="s">
        <v>877</v>
      </c>
      <c r="N96" t="s">
        <v>878</v>
      </c>
      <c r="P96" t="s">
        <v>879</v>
      </c>
      <c r="Q96" t="s">
        <v>880</v>
      </c>
      <c r="R96" t="s">
        <v>36</v>
      </c>
      <c r="S96" t="s">
        <v>881</v>
      </c>
      <c r="T96" t="s">
        <v>87</v>
      </c>
      <c r="U96">
        <v>46248.568646</v>
      </c>
      <c r="V96">
        <v>46248.617580999999</v>
      </c>
      <c r="Y96" t="s">
        <v>58</v>
      </c>
    </row>
    <row r="97" spans="2:25" x14ac:dyDescent="0.25">
      <c r="B97" t="s">
        <v>882</v>
      </c>
      <c r="C97" t="s">
        <v>883</v>
      </c>
      <c r="D97" t="s">
        <v>305</v>
      </c>
      <c r="E97">
        <v>2024</v>
      </c>
      <c r="F97" t="s">
        <v>29</v>
      </c>
      <c r="G97" t="s">
        <v>884</v>
      </c>
      <c r="H97" t="s">
        <v>307</v>
      </c>
      <c r="I97" t="s">
        <v>885</v>
      </c>
      <c r="J97" t="s">
        <v>81</v>
      </c>
      <c r="K97" t="s">
        <v>886</v>
      </c>
      <c r="L97" t="s">
        <v>887</v>
      </c>
      <c r="N97" t="s">
        <v>888</v>
      </c>
      <c r="P97" t="s">
        <v>312</v>
      </c>
      <c r="Q97" t="s">
        <v>313</v>
      </c>
      <c r="R97" t="s">
        <v>36</v>
      </c>
      <c r="S97" t="s">
        <v>889</v>
      </c>
      <c r="T97" t="s">
        <v>87</v>
      </c>
      <c r="U97">
        <v>46248.568646</v>
      </c>
      <c r="V97">
        <v>46248.609559999997</v>
      </c>
      <c r="Y97" t="s">
        <v>58</v>
      </c>
    </row>
    <row r="98" spans="2:25" x14ac:dyDescent="0.25">
      <c r="B98" t="s">
        <v>890</v>
      </c>
      <c r="C98" t="s">
        <v>891</v>
      </c>
      <c r="D98" t="s">
        <v>441</v>
      </c>
      <c r="E98">
        <v>2024</v>
      </c>
      <c r="F98" t="s">
        <v>29</v>
      </c>
      <c r="G98" t="s">
        <v>892</v>
      </c>
      <c r="I98" t="s">
        <v>893</v>
      </c>
      <c r="J98" t="s">
        <v>32</v>
      </c>
      <c r="K98" t="s">
        <v>894</v>
      </c>
      <c r="L98" t="s">
        <v>895</v>
      </c>
      <c r="N98" t="s">
        <v>896</v>
      </c>
      <c r="P98" t="s">
        <v>214</v>
      </c>
      <c r="Q98" t="s">
        <v>447</v>
      </c>
      <c r="R98" t="s">
        <v>36</v>
      </c>
      <c r="S98" t="s">
        <v>344</v>
      </c>
      <c r="T98" t="s">
        <v>94</v>
      </c>
      <c r="U98">
        <v>46248.573321999997</v>
      </c>
      <c r="V98">
        <v>46297.591134000002</v>
      </c>
      <c r="Y98" t="s">
        <v>58</v>
      </c>
    </row>
    <row r="99" spans="2:25" x14ac:dyDescent="0.25">
      <c r="B99" t="s">
        <v>897</v>
      </c>
      <c r="C99" t="s">
        <v>898</v>
      </c>
      <c r="D99" t="s">
        <v>899</v>
      </c>
      <c r="E99">
        <v>2024</v>
      </c>
      <c r="F99" t="s">
        <v>29</v>
      </c>
      <c r="I99" t="s">
        <v>900</v>
      </c>
      <c r="J99" t="s">
        <v>32</v>
      </c>
      <c r="K99" t="s">
        <v>901</v>
      </c>
      <c r="L99" t="s">
        <v>902</v>
      </c>
      <c r="N99" t="s">
        <v>903</v>
      </c>
      <c r="O99" t="s">
        <v>904</v>
      </c>
      <c r="P99" t="s">
        <v>35</v>
      </c>
      <c r="R99" t="s">
        <v>36</v>
      </c>
      <c r="S99" t="s">
        <v>37</v>
      </c>
      <c r="T99" t="s">
        <v>48</v>
      </c>
      <c r="U99">
        <v>46248.578980999999</v>
      </c>
      <c r="V99">
        <v>46297.572939999998</v>
      </c>
      <c r="Y99" t="s">
        <v>49</v>
      </c>
    </row>
    <row r="100" spans="2:25" x14ac:dyDescent="0.25">
      <c r="B100" t="s">
        <v>905</v>
      </c>
      <c r="C100" t="s">
        <v>906</v>
      </c>
      <c r="D100" t="s">
        <v>907</v>
      </c>
      <c r="E100">
        <v>2025</v>
      </c>
      <c r="F100" t="s">
        <v>29</v>
      </c>
      <c r="G100" t="s">
        <v>908</v>
      </c>
      <c r="I100" t="s">
        <v>909</v>
      </c>
      <c r="J100" t="s">
        <v>32</v>
      </c>
      <c r="K100" t="s">
        <v>910</v>
      </c>
      <c r="L100" t="s">
        <v>911</v>
      </c>
      <c r="N100" t="s">
        <v>912</v>
      </c>
      <c r="O100" t="s">
        <v>913</v>
      </c>
      <c r="P100" t="s">
        <v>35</v>
      </c>
      <c r="R100" t="s">
        <v>36</v>
      </c>
      <c r="S100" t="s">
        <v>538</v>
      </c>
      <c r="T100" t="s">
        <v>94</v>
      </c>
      <c r="U100">
        <v>46248.58</v>
      </c>
      <c r="V100">
        <v>46297.591168999999</v>
      </c>
      <c r="Y100" t="s">
        <v>58</v>
      </c>
    </row>
    <row r="101" spans="2:25" x14ac:dyDescent="0.25">
      <c r="B101" t="s">
        <v>914</v>
      </c>
      <c r="C101" t="s">
        <v>372</v>
      </c>
      <c r="E101">
        <v>2026</v>
      </c>
      <c r="F101" t="s">
        <v>127</v>
      </c>
      <c r="G101" t="s">
        <v>915</v>
      </c>
      <c r="I101" t="s">
        <v>31</v>
      </c>
      <c r="K101" t="s">
        <v>375</v>
      </c>
      <c r="O101" t="s">
        <v>916</v>
      </c>
      <c r="T101" t="s">
        <v>38</v>
      </c>
      <c r="U101">
        <v>46248.587939999998</v>
      </c>
      <c r="V101">
        <v>46297.577766000002</v>
      </c>
      <c r="Y101" t="s">
        <v>39</v>
      </c>
    </row>
    <row r="102" spans="2:25" x14ac:dyDescent="0.25">
      <c r="B102" t="s">
        <v>917</v>
      </c>
      <c r="C102" t="s">
        <v>918</v>
      </c>
      <c r="E102">
        <v>2025</v>
      </c>
      <c r="F102" t="s">
        <v>127</v>
      </c>
      <c r="G102" t="s">
        <v>919</v>
      </c>
      <c r="I102" t="s">
        <v>31</v>
      </c>
      <c r="K102" t="s">
        <v>920</v>
      </c>
      <c r="O102" t="s">
        <v>921</v>
      </c>
      <c r="T102" t="s">
        <v>38</v>
      </c>
      <c r="U102">
        <v>46248.587939999998</v>
      </c>
      <c r="V102">
        <v>46297.577720000001</v>
      </c>
      <c r="Y102" t="s">
        <v>39</v>
      </c>
    </row>
    <row r="103" spans="2:25" x14ac:dyDescent="0.25">
      <c r="B103" t="s">
        <v>922</v>
      </c>
      <c r="C103" t="s">
        <v>923</v>
      </c>
      <c r="D103" t="s">
        <v>924</v>
      </c>
      <c r="E103">
        <v>2025</v>
      </c>
      <c r="F103" t="s">
        <v>29</v>
      </c>
      <c r="I103" t="s">
        <v>925</v>
      </c>
      <c r="J103" t="s">
        <v>32</v>
      </c>
      <c r="K103" t="s">
        <v>926</v>
      </c>
      <c r="L103" t="s">
        <v>927</v>
      </c>
      <c r="N103" t="s">
        <v>928</v>
      </c>
      <c r="O103" t="s">
        <v>929</v>
      </c>
      <c r="P103" t="s">
        <v>35</v>
      </c>
      <c r="R103" t="s">
        <v>36</v>
      </c>
      <c r="S103" t="s">
        <v>37</v>
      </c>
      <c r="T103" t="s">
        <v>38</v>
      </c>
      <c r="U103">
        <v>46248.575613000001</v>
      </c>
      <c r="V103">
        <v>46297.577684999997</v>
      </c>
      <c r="Y103" t="s">
        <v>39</v>
      </c>
    </row>
    <row r="104" spans="2:25" x14ac:dyDescent="0.25">
      <c r="B104" t="s">
        <v>661</v>
      </c>
      <c r="C104" t="s">
        <v>662</v>
      </c>
      <c r="E104">
        <v>2025</v>
      </c>
      <c r="F104" t="s">
        <v>127</v>
      </c>
      <c r="G104" t="s">
        <v>930</v>
      </c>
      <c r="I104" t="s">
        <v>31</v>
      </c>
      <c r="K104" t="s">
        <v>666</v>
      </c>
      <c r="O104" t="s">
        <v>931</v>
      </c>
      <c r="T104" t="s">
        <v>38</v>
      </c>
      <c r="U104">
        <v>46248.587939999998</v>
      </c>
      <c r="V104">
        <v>46297.577649999999</v>
      </c>
      <c r="Y104" t="s">
        <v>39</v>
      </c>
    </row>
    <row r="105" spans="2:25" x14ac:dyDescent="0.25">
      <c r="B105" t="s">
        <v>932</v>
      </c>
      <c r="C105" t="s">
        <v>933</v>
      </c>
      <c r="D105" t="s">
        <v>934</v>
      </c>
      <c r="E105">
        <v>2025</v>
      </c>
      <c r="F105" t="s">
        <v>29</v>
      </c>
      <c r="H105" t="s">
        <v>296</v>
      </c>
      <c r="I105" t="s">
        <v>935</v>
      </c>
      <c r="J105" t="s">
        <v>81</v>
      </c>
      <c r="K105" t="s">
        <v>936</v>
      </c>
      <c r="L105" t="s">
        <v>937</v>
      </c>
      <c r="N105" t="s">
        <v>938</v>
      </c>
      <c r="P105" t="s">
        <v>280</v>
      </c>
      <c r="Q105" t="s">
        <v>939</v>
      </c>
      <c r="R105" t="s">
        <v>36</v>
      </c>
      <c r="S105" t="s">
        <v>940</v>
      </c>
      <c r="T105" t="s">
        <v>38</v>
      </c>
      <c r="U105">
        <v>46248.568634000003</v>
      </c>
      <c r="V105">
        <v>46297.577847</v>
      </c>
      <c r="Y105" t="s">
        <v>39</v>
      </c>
    </row>
    <row r="106" spans="2:25" x14ac:dyDescent="0.25">
      <c r="B106" t="s">
        <v>941</v>
      </c>
      <c r="C106" t="s">
        <v>942</v>
      </c>
      <c r="D106" t="s">
        <v>462</v>
      </c>
      <c r="E106">
        <v>2026</v>
      </c>
      <c r="F106" t="s">
        <v>29</v>
      </c>
      <c r="G106" t="s">
        <v>943</v>
      </c>
      <c r="H106" t="s">
        <v>944</v>
      </c>
      <c r="I106" t="s">
        <v>945</v>
      </c>
      <c r="J106" t="s">
        <v>32</v>
      </c>
      <c r="K106" t="s">
        <v>946</v>
      </c>
      <c r="L106" t="s">
        <v>947</v>
      </c>
      <c r="N106" t="s">
        <v>948</v>
      </c>
      <c r="O106" t="s">
        <v>949</v>
      </c>
      <c r="P106" t="s">
        <v>259</v>
      </c>
      <c r="Q106" t="s">
        <v>470</v>
      </c>
      <c r="R106" t="s">
        <v>36</v>
      </c>
      <c r="S106" t="s">
        <v>37</v>
      </c>
      <c r="T106" t="s">
        <v>38</v>
      </c>
      <c r="U106">
        <v>46248.568634000003</v>
      </c>
      <c r="V106">
        <v>46297.577800999999</v>
      </c>
      <c r="Y106" t="s">
        <v>39</v>
      </c>
    </row>
    <row r="107" spans="2:25" x14ac:dyDescent="0.25">
      <c r="B107" t="s">
        <v>950</v>
      </c>
      <c r="C107" t="s">
        <v>951</v>
      </c>
      <c r="D107" t="s">
        <v>952</v>
      </c>
      <c r="E107">
        <v>2025</v>
      </c>
      <c r="F107" t="s">
        <v>29</v>
      </c>
      <c r="G107" t="s">
        <v>953</v>
      </c>
      <c r="H107" t="s">
        <v>954</v>
      </c>
      <c r="I107" t="s">
        <v>955</v>
      </c>
      <c r="J107" t="s">
        <v>81</v>
      </c>
      <c r="K107" t="s">
        <v>956</v>
      </c>
      <c r="L107" t="s">
        <v>957</v>
      </c>
      <c r="N107" t="s">
        <v>958</v>
      </c>
      <c r="O107" t="s">
        <v>959</v>
      </c>
      <c r="P107" t="s">
        <v>259</v>
      </c>
      <c r="Q107" t="s">
        <v>960</v>
      </c>
      <c r="R107" t="s">
        <v>36</v>
      </c>
      <c r="S107" t="s">
        <v>961</v>
      </c>
      <c r="T107" t="s">
        <v>48</v>
      </c>
      <c r="U107">
        <v>46248.568634000003</v>
      </c>
      <c r="V107">
        <v>46297.572975000003</v>
      </c>
      <c r="Y107" t="s">
        <v>49</v>
      </c>
    </row>
    <row r="108" spans="2:25" x14ac:dyDescent="0.25">
      <c r="B108" t="s">
        <v>962</v>
      </c>
      <c r="C108" t="s">
        <v>963</v>
      </c>
      <c r="E108">
        <v>2024</v>
      </c>
      <c r="F108" t="s">
        <v>230</v>
      </c>
      <c r="G108" t="s">
        <v>964</v>
      </c>
      <c r="I108" t="s">
        <v>965</v>
      </c>
      <c r="K108" t="s">
        <v>966</v>
      </c>
      <c r="L108" t="s">
        <v>967</v>
      </c>
      <c r="P108" t="s">
        <v>236</v>
      </c>
      <c r="T108" t="s">
        <v>87</v>
      </c>
      <c r="U108">
        <v>46248.587847000003</v>
      </c>
      <c r="V108">
        <v>46248.594004999999</v>
      </c>
      <c r="Y108" t="s">
        <v>58</v>
      </c>
    </row>
    <row r="109" spans="2:25" x14ac:dyDescent="0.25">
      <c r="B109" t="s">
        <v>968</v>
      </c>
      <c r="C109" t="s">
        <v>969</v>
      </c>
      <c r="E109">
        <v>2025</v>
      </c>
      <c r="F109" t="s">
        <v>127</v>
      </c>
      <c r="G109" t="s">
        <v>970</v>
      </c>
      <c r="I109" t="s">
        <v>31</v>
      </c>
      <c r="K109" t="s">
        <v>971</v>
      </c>
      <c r="O109" t="s">
        <v>972</v>
      </c>
      <c r="T109" t="s">
        <v>48</v>
      </c>
      <c r="U109">
        <v>46248.587939999998</v>
      </c>
      <c r="V109">
        <v>46297.573020999997</v>
      </c>
      <c r="Y109" t="s">
        <v>49</v>
      </c>
    </row>
    <row r="110" spans="2:25" x14ac:dyDescent="0.25">
      <c r="B110" t="s">
        <v>973</v>
      </c>
      <c r="C110" t="s">
        <v>974</v>
      </c>
      <c r="D110" t="s">
        <v>975</v>
      </c>
      <c r="E110">
        <v>2025</v>
      </c>
      <c r="F110" t="s">
        <v>976</v>
      </c>
      <c r="H110" t="s">
        <v>605</v>
      </c>
      <c r="I110" t="s">
        <v>31</v>
      </c>
      <c r="K110" t="s">
        <v>977</v>
      </c>
      <c r="Q110" t="s">
        <v>978</v>
      </c>
      <c r="T110" t="s">
        <v>87</v>
      </c>
      <c r="U110">
        <v>46248.588136999999</v>
      </c>
      <c r="V110">
        <v>46252.792013999999</v>
      </c>
      <c r="Y110" t="s">
        <v>58</v>
      </c>
    </row>
    <row r="111" spans="2:25" x14ac:dyDescent="0.25">
      <c r="B111" t="s">
        <v>932</v>
      </c>
      <c r="C111" t="s">
        <v>933</v>
      </c>
      <c r="D111" t="s">
        <v>979</v>
      </c>
      <c r="E111">
        <v>2025</v>
      </c>
      <c r="F111" t="s">
        <v>976</v>
      </c>
      <c r="H111" t="s">
        <v>296</v>
      </c>
      <c r="I111" t="s">
        <v>31</v>
      </c>
      <c r="K111" t="s">
        <v>936</v>
      </c>
      <c r="T111" t="s">
        <v>87</v>
      </c>
      <c r="U111">
        <v>46248.588136999999</v>
      </c>
      <c r="V111">
        <v>46248.599652999997</v>
      </c>
      <c r="Y111" t="s">
        <v>58</v>
      </c>
    </row>
    <row r="112" spans="2:25" x14ac:dyDescent="0.25">
      <c r="B112" t="s">
        <v>980</v>
      </c>
      <c r="C112" t="s">
        <v>981</v>
      </c>
      <c r="D112" t="s">
        <v>982</v>
      </c>
      <c r="E112">
        <v>2024</v>
      </c>
      <c r="F112" t="s">
        <v>976</v>
      </c>
      <c r="H112" t="s">
        <v>983</v>
      </c>
      <c r="I112" t="s">
        <v>31</v>
      </c>
      <c r="K112" t="s">
        <v>984</v>
      </c>
      <c r="Q112" t="s">
        <v>985</v>
      </c>
      <c r="T112" t="s">
        <v>94</v>
      </c>
      <c r="U112">
        <v>46248.588136999999</v>
      </c>
      <c r="V112">
        <v>46297.591399999998</v>
      </c>
      <c r="Y112" t="s">
        <v>58</v>
      </c>
    </row>
    <row r="113" spans="2:25" x14ac:dyDescent="0.25">
      <c r="B113" t="s">
        <v>941</v>
      </c>
      <c r="C113" t="s">
        <v>942</v>
      </c>
      <c r="E113">
        <v>2026</v>
      </c>
      <c r="F113" t="s">
        <v>976</v>
      </c>
      <c r="G113" t="s">
        <v>986</v>
      </c>
      <c r="H113" t="s">
        <v>987</v>
      </c>
      <c r="I113" t="s">
        <v>31</v>
      </c>
      <c r="K113" t="s">
        <v>988</v>
      </c>
      <c r="Q113" t="s">
        <v>989</v>
      </c>
      <c r="S113" t="s">
        <v>990</v>
      </c>
      <c r="T113" t="s">
        <v>94</v>
      </c>
      <c r="U113">
        <v>46248.588136999999</v>
      </c>
      <c r="V113">
        <v>46297.591366000001</v>
      </c>
      <c r="Y113" t="s">
        <v>58</v>
      </c>
    </row>
    <row r="114" spans="2:25" x14ac:dyDescent="0.25">
      <c r="B114" t="s">
        <v>991</v>
      </c>
      <c r="C114" t="s">
        <v>992</v>
      </c>
      <c r="D114" t="s">
        <v>993</v>
      </c>
      <c r="E114">
        <v>2026</v>
      </c>
      <c r="F114" t="s">
        <v>976</v>
      </c>
      <c r="H114" t="s">
        <v>751</v>
      </c>
      <c r="I114" t="s">
        <v>31</v>
      </c>
      <c r="K114" t="s">
        <v>994</v>
      </c>
      <c r="Q114" t="s">
        <v>995</v>
      </c>
      <c r="T114" t="s">
        <v>94</v>
      </c>
      <c r="U114">
        <v>46248.588136999999</v>
      </c>
      <c r="V114">
        <v>46297.591318999999</v>
      </c>
      <c r="Y114" t="s">
        <v>58</v>
      </c>
    </row>
    <row r="115" spans="2:25" x14ac:dyDescent="0.25">
      <c r="B115" t="s">
        <v>249</v>
      </c>
      <c r="C115" t="s">
        <v>250</v>
      </c>
      <c r="E115">
        <v>2025</v>
      </c>
      <c r="F115" t="s">
        <v>976</v>
      </c>
      <c r="G115" t="s">
        <v>996</v>
      </c>
      <c r="H115" t="s">
        <v>997</v>
      </c>
      <c r="I115" t="s">
        <v>31</v>
      </c>
      <c r="K115" t="s">
        <v>998</v>
      </c>
      <c r="Q115" t="s">
        <v>999</v>
      </c>
      <c r="S115" t="s">
        <v>1000</v>
      </c>
      <c r="T115" t="s">
        <v>48</v>
      </c>
      <c r="U115">
        <v>46248.588136999999</v>
      </c>
      <c r="V115">
        <v>46297.580521000004</v>
      </c>
      <c r="Y115" t="s">
        <v>49</v>
      </c>
    </row>
    <row r="116" spans="2:25" x14ac:dyDescent="0.25">
      <c r="B116" t="s">
        <v>1001</v>
      </c>
      <c r="C116" t="s">
        <v>1002</v>
      </c>
      <c r="E116">
        <v>2026</v>
      </c>
      <c r="F116" t="s">
        <v>976</v>
      </c>
      <c r="G116" t="s">
        <v>1003</v>
      </c>
      <c r="H116" t="s">
        <v>1004</v>
      </c>
      <c r="I116" t="s">
        <v>31</v>
      </c>
      <c r="K116" t="s">
        <v>1005</v>
      </c>
      <c r="Q116" t="s">
        <v>989</v>
      </c>
      <c r="S116" t="s">
        <v>1006</v>
      </c>
      <c r="T116" t="s">
        <v>48</v>
      </c>
      <c r="U116">
        <v>46248.588136999999</v>
      </c>
      <c r="V116">
        <v>46297.580451000002</v>
      </c>
      <c r="Y116" t="s">
        <v>49</v>
      </c>
    </row>
    <row r="117" spans="2:25" x14ac:dyDescent="0.25">
      <c r="B117" t="s">
        <v>237</v>
      </c>
      <c r="C117" t="s">
        <v>1007</v>
      </c>
      <c r="D117" t="s">
        <v>1008</v>
      </c>
      <c r="E117">
        <v>2026</v>
      </c>
      <c r="F117" t="s">
        <v>976</v>
      </c>
      <c r="G117" t="s">
        <v>1009</v>
      </c>
      <c r="H117" t="s">
        <v>241</v>
      </c>
      <c r="I117" t="s">
        <v>31</v>
      </c>
      <c r="K117" t="s">
        <v>243</v>
      </c>
      <c r="Q117" t="s">
        <v>1010</v>
      </c>
      <c r="T117" t="s">
        <v>48</v>
      </c>
      <c r="U117">
        <v>46248.588136999999</v>
      </c>
      <c r="V117">
        <v>46297.573056000001</v>
      </c>
      <c r="Y117" t="s">
        <v>49</v>
      </c>
    </row>
    <row r="118" spans="2:25" x14ac:dyDescent="0.25">
      <c r="B118" t="s">
        <v>1011</v>
      </c>
      <c r="C118" t="s">
        <v>1012</v>
      </c>
      <c r="E118">
        <v>2026</v>
      </c>
      <c r="F118" t="s">
        <v>672</v>
      </c>
      <c r="G118" t="s">
        <v>1013</v>
      </c>
      <c r="I118" t="s">
        <v>1014</v>
      </c>
      <c r="P118" t="s">
        <v>1015</v>
      </c>
      <c r="T118" t="s">
        <v>48</v>
      </c>
      <c r="U118">
        <v>46248.588413999998</v>
      </c>
      <c r="V118">
        <v>46297.580648000003</v>
      </c>
      <c r="Y118" t="s">
        <v>49</v>
      </c>
    </row>
    <row r="119" spans="2:25" x14ac:dyDescent="0.25">
      <c r="B119" t="s">
        <v>1016</v>
      </c>
      <c r="C119" t="s">
        <v>1017</v>
      </c>
      <c r="D119" t="s">
        <v>1018</v>
      </c>
      <c r="E119">
        <v>2025</v>
      </c>
      <c r="F119" t="s">
        <v>29</v>
      </c>
      <c r="I119" t="s">
        <v>1019</v>
      </c>
      <c r="J119" t="s">
        <v>32</v>
      </c>
      <c r="K119" t="s">
        <v>1020</v>
      </c>
      <c r="L119" t="s">
        <v>1021</v>
      </c>
      <c r="N119" t="s">
        <v>1022</v>
      </c>
      <c r="O119" t="s">
        <v>1023</v>
      </c>
      <c r="P119" t="s">
        <v>35</v>
      </c>
      <c r="R119" t="s">
        <v>36</v>
      </c>
      <c r="S119" t="s">
        <v>37</v>
      </c>
      <c r="T119" t="s">
        <v>38</v>
      </c>
      <c r="U119">
        <v>46248.568634000003</v>
      </c>
      <c r="V119">
        <v>46297.577881999998</v>
      </c>
      <c r="Y119" t="s">
        <v>39</v>
      </c>
    </row>
    <row r="120" spans="2:25" x14ac:dyDescent="0.25">
      <c r="B120" t="s">
        <v>1024</v>
      </c>
      <c r="C120" t="s">
        <v>1025</v>
      </c>
      <c r="D120" t="s">
        <v>1026</v>
      </c>
      <c r="E120">
        <v>2025</v>
      </c>
      <c r="F120" t="s">
        <v>29</v>
      </c>
      <c r="G120" t="s">
        <v>1027</v>
      </c>
      <c r="I120" t="s">
        <v>1028</v>
      </c>
      <c r="J120" t="s">
        <v>32</v>
      </c>
      <c r="K120" t="s">
        <v>1029</v>
      </c>
      <c r="L120" t="s">
        <v>1030</v>
      </c>
      <c r="N120" t="s">
        <v>1031</v>
      </c>
      <c r="O120" t="s">
        <v>1032</v>
      </c>
      <c r="P120" t="s">
        <v>1033</v>
      </c>
      <c r="R120" t="s">
        <v>36</v>
      </c>
      <c r="S120" t="s">
        <v>362</v>
      </c>
      <c r="T120" t="s">
        <v>48</v>
      </c>
      <c r="U120">
        <v>46248.578807999998</v>
      </c>
      <c r="V120">
        <v>46297.573102000002</v>
      </c>
      <c r="Y120" t="s">
        <v>49</v>
      </c>
    </row>
    <row r="121" spans="2:25" x14ac:dyDescent="0.25">
      <c r="B121" t="s">
        <v>1034</v>
      </c>
      <c r="C121" t="s">
        <v>1035</v>
      </c>
      <c r="E121">
        <v>2025</v>
      </c>
      <c r="F121" t="s">
        <v>127</v>
      </c>
      <c r="G121" t="s">
        <v>919</v>
      </c>
      <c r="I121" t="s">
        <v>31</v>
      </c>
      <c r="K121" t="s">
        <v>1036</v>
      </c>
      <c r="O121" t="s">
        <v>1037</v>
      </c>
      <c r="T121" t="s">
        <v>87</v>
      </c>
      <c r="U121">
        <v>46248.587939999998</v>
      </c>
      <c r="V121">
        <v>46248.606677999996</v>
      </c>
      <c r="Y121" t="s">
        <v>58</v>
      </c>
    </row>
    <row r="122" spans="2:25" x14ac:dyDescent="0.25">
      <c r="B122" t="s">
        <v>1038</v>
      </c>
      <c r="C122" t="s">
        <v>1039</v>
      </c>
      <c r="E122">
        <v>2025</v>
      </c>
      <c r="F122" t="s">
        <v>127</v>
      </c>
      <c r="G122" t="s">
        <v>1040</v>
      </c>
      <c r="I122" t="s">
        <v>31</v>
      </c>
      <c r="K122" t="s">
        <v>1041</v>
      </c>
      <c r="O122" t="s">
        <v>1042</v>
      </c>
      <c r="T122" t="s">
        <v>94</v>
      </c>
      <c r="U122">
        <v>46248.587939999998</v>
      </c>
      <c r="V122">
        <v>46297.591458000003</v>
      </c>
      <c r="Y122" t="s">
        <v>58</v>
      </c>
    </row>
    <row r="123" spans="2:25" x14ac:dyDescent="0.25">
      <c r="B123" t="s">
        <v>1043</v>
      </c>
      <c r="C123" t="s">
        <v>1044</v>
      </c>
      <c r="E123">
        <v>2025</v>
      </c>
      <c r="F123" t="s">
        <v>127</v>
      </c>
      <c r="G123" t="s">
        <v>1045</v>
      </c>
      <c r="I123" t="s">
        <v>31</v>
      </c>
      <c r="K123" t="s">
        <v>1046</v>
      </c>
      <c r="O123" t="s">
        <v>1047</v>
      </c>
      <c r="T123" t="s">
        <v>57</v>
      </c>
      <c r="U123">
        <v>46248.587939999998</v>
      </c>
      <c r="V123">
        <v>46297.585949</v>
      </c>
      <c r="Y123" t="s">
        <v>58</v>
      </c>
    </row>
    <row r="124" spans="2:25" x14ac:dyDescent="0.25">
      <c r="B124" t="s">
        <v>1048</v>
      </c>
      <c r="C124" t="s">
        <v>1049</v>
      </c>
      <c r="E124">
        <v>2024</v>
      </c>
      <c r="F124" t="s">
        <v>127</v>
      </c>
      <c r="G124" t="s">
        <v>1050</v>
      </c>
      <c r="I124" t="s">
        <v>31</v>
      </c>
      <c r="K124" t="s">
        <v>1051</v>
      </c>
      <c r="O124" t="s">
        <v>1052</v>
      </c>
      <c r="T124" t="s">
        <v>38</v>
      </c>
      <c r="U124">
        <v>46248.587939999998</v>
      </c>
      <c r="V124">
        <v>46297.577963000003</v>
      </c>
      <c r="Y124" t="s">
        <v>39</v>
      </c>
    </row>
    <row r="125" spans="2:25" x14ac:dyDescent="0.25">
      <c r="B125" t="s">
        <v>1053</v>
      </c>
      <c r="C125" t="s">
        <v>1054</v>
      </c>
      <c r="E125">
        <v>2025</v>
      </c>
      <c r="F125" t="s">
        <v>127</v>
      </c>
      <c r="G125" t="s">
        <v>919</v>
      </c>
      <c r="I125" t="s">
        <v>31</v>
      </c>
      <c r="K125" t="s">
        <v>1055</v>
      </c>
      <c r="O125" t="s">
        <v>1056</v>
      </c>
      <c r="T125" t="s">
        <v>38</v>
      </c>
      <c r="U125">
        <v>46248.587939999998</v>
      </c>
      <c r="V125">
        <v>46297.577917000002</v>
      </c>
      <c r="Y125" t="s">
        <v>39</v>
      </c>
    </row>
    <row r="126" spans="2:25" x14ac:dyDescent="0.25">
      <c r="B126" t="s">
        <v>922</v>
      </c>
      <c r="C126" t="s">
        <v>1057</v>
      </c>
      <c r="E126">
        <v>2025</v>
      </c>
      <c r="F126" t="s">
        <v>127</v>
      </c>
      <c r="G126" t="s">
        <v>1050</v>
      </c>
      <c r="I126" t="s">
        <v>31</v>
      </c>
      <c r="K126" t="s">
        <v>926</v>
      </c>
      <c r="O126" t="s">
        <v>1058</v>
      </c>
      <c r="T126" t="s">
        <v>48</v>
      </c>
      <c r="U126">
        <v>46248.587939999998</v>
      </c>
      <c r="V126">
        <v>46297.573217999998</v>
      </c>
      <c r="Y126" t="s">
        <v>49</v>
      </c>
    </row>
    <row r="127" spans="2:25" x14ac:dyDescent="0.25">
      <c r="B127" t="s">
        <v>327</v>
      </c>
      <c r="C127" t="s">
        <v>328</v>
      </c>
      <c r="E127">
        <v>2025</v>
      </c>
      <c r="F127" t="s">
        <v>127</v>
      </c>
      <c r="G127" t="s">
        <v>919</v>
      </c>
      <c r="I127" t="s">
        <v>31</v>
      </c>
      <c r="K127" t="s">
        <v>331</v>
      </c>
      <c r="O127" t="s">
        <v>1059</v>
      </c>
      <c r="T127" t="s">
        <v>48</v>
      </c>
      <c r="U127">
        <v>46248.587939999998</v>
      </c>
      <c r="V127">
        <v>46297.573183</v>
      </c>
      <c r="Y127" t="s">
        <v>49</v>
      </c>
    </row>
    <row r="128" spans="2:25" x14ac:dyDescent="0.25">
      <c r="B128" t="s">
        <v>178</v>
      </c>
      <c r="C128" t="s">
        <v>179</v>
      </c>
      <c r="E128">
        <v>2026</v>
      </c>
      <c r="F128" t="s">
        <v>127</v>
      </c>
      <c r="G128" t="s">
        <v>915</v>
      </c>
      <c r="I128" t="s">
        <v>31</v>
      </c>
      <c r="K128" t="s">
        <v>181</v>
      </c>
      <c r="O128" t="s">
        <v>1060</v>
      </c>
      <c r="T128" t="s">
        <v>48</v>
      </c>
      <c r="U128">
        <v>46248.587939999998</v>
      </c>
      <c r="V128">
        <v>46297.573148000003</v>
      </c>
      <c r="Y128" t="s">
        <v>49</v>
      </c>
    </row>
    <row r="129" spans="2:25" x14ac:dyDescent="0.25">
      <c r="B129" t="s">
        <v>1061</v>
      </c>
      <c r="C129" t="s">
        <v>1062</v>
      </c>
      <c r="E129">
        <v>2025</v>
      </c>
      <c r="F129" t="s">
        <v>127</v>
      </c>
      <c r="G129" t="s">
        <v>1063</v>
      </c>
      <c r="I129" t="s">
        <v>31</v>
      </c>
      <c r="K129" t="s">
        <v>1064</v>
      </c>
      <c r="O129" t="s">
        <v>1065</v>
      </c>
      <c r="T129" t="s">
        <v>38</v>
      </c>
      <c r="U129">
        <v>46248.587939999998</v>
      </c>
      <c r="V129">
        <v>46297.577998000001</v>
      </c>
      <c r="Y129" t="s">
        <v>39</v>
      </c>
    </row>
    <row r="130" spans="2:25" x14ac:dyDescent="0.25">
      <c r="B130" t="s">
        <v>1066</v>
      </c>
      <c r="C130" t="s">
        <v>1067</v>
      </c>
      <c r="D130" t="s">
        <v>572</v>
      </c>
      <c r="E130">
        <v>2024</v>
      </c>
      <c r="F130" t="s">
        <v>29</v>
      </c>
      <c r="G130" t="s">
        <v>1068</v>
      </c>
      <c r="H130" t="s">
        <v>1069</v>
      </c>
      <c r="I130" t="s">
        <v>1070</v>
      </c>
      <c r="J130" t="s">
        <v>81</v>
      </c>
      <c r="K130" t="s">
        <v>1071</v>
      </c>
      <c r="L130" t="s">
        <v>1072</v>
      </c>
      <c r="N130" t="s">
        <v>1073</v>
      </c>
      <c r="P130" t="s">
        <v>457</v>
      </c>
      <c r="Q130" t="s">
        <v>578</v>
      </c>
      <c r="R130" t="s">
        <v>36</v>
      </c>
      <c r="S130" t="s">
        <v>1074</v>
      </c>
      <c r="T130" t="s">
        <v>87</v>
      </c>
      <c r="U130">
        <v>46248.568646</v>
      </c>
      <c r="V130">
        <v>46248.608656999997</v>
      </c>
      <c r="Y130" t="s">
        <v>58</v>
      </c>
    </row>
    <row r="131" spans="2:25" x14ac:dyDescent="0.25">
      <c r="B131" t="s">
        <v>1075</v>
      </c>
      <c r="C131" t="s">
        <v>1076</v>
      </c>
      <c r="D131" t="s">
        <v>1077</v>
      </c>
      <c r="E131">
        <v>2024</v>
      </c>
      <c r="F131" t="s">
        <v>29</v>
      </c>
      <c r="I131" t="s">
        <v>1078</v>
      </c>
      <c r="J131" t="s">
        <v>32</v>
      </c>
      <c r="K131" t="s">
        <v>1079</v>
      </c>
      <c r="L131" t="s">
        <v>1080</v>
      </c>
      <c r="N131" t="s">
        <v>1081</v>
      </c>
      <c r="O131" t="s">
        <v>1082</v>
      </c>
      <c r="P131" t="s">
        <v>35</v>
      </c>
      <c r="R131" t="s">
        <v>36</v>
      </c>
      <c r="S131" t="s">
        <v>538</v>
      </c>
      <c r="T131" t="s">
        <v>94</v>
      </c>
      <c r="U131">
        <v>46248.568646</v>
      </c>
      <c r="V131">
        <v>46297.591527999997</v>
      </c>
      <c r="Y131" t="s">
        <v>58</v>
      </c>
    </row>
    <row r="132" spans="2:25" x14ac:dyDescent="0.25">
      <c r="B132" t="s">
        <v>1083</v>
      </c>
      <c r="C132" t="s">
        <v>1084</v>
      </c>
      <c r="D132" t="s">
        <v>207</v>
      </c>
      <c r="E132">
        <v>2026</v>
      </c>
      <c r="F132" t="s">
        <v>29</v>
      </c>
      <c r="G132" t="s">
        <v>1085</v>
      </c>
      <c r="H132" t="s">
        <v>1086</v>
      </c>
      <c r="I132" t="s">
        <v>1087</v>
      </c>
      <c r="J132" t="s">
        <v>81</v>
      </c>
      <c r="K132" t="s">
        <v>1088</v>
      </c>
      <c r="L132" t="s">
        <v>1089</v>
      </c>
      <c r="N132" t="s">
        <v>1090</v>
      </c>
      <c r="P132" t="s">
        <v>214</v>
      </c>
      <c r="Q132" t="s">
        <v>215</v>
      </c>
      <c r="R132" t="s">
        <v>36</v>
      </c>
      <c r="S132" t="s">
        <v>37</v>
      </c>
      <c r="T132" t="s">
        <v>87</v>
      </c>
      <c r="U132">
        <v>46248.568646</v>
      </c>
      <c r="V132">
        <v>46248.610278</v>
      </c>
      <c r="Y132" t="s">
        <v>58</v>
      </c>
    </row>
    <row r="133" spans="2:25" x14ac:dyDescent="0.25">
      <c r="B133" t="s">
        <v>1091</v>
      </c>
      <c r="C133" t="s">
        <v>1092</v>
      </c>
      <c r="D133" t="s">
        <v>1093</v>
      </c>
      <c r="E133">
        <v>2025</v>
      </c>
      <c r="F133" t="s">
        <v>29</v>
      </c>
      <c r="G133" t="s">
        <v>1094</v>
      </c>
      <c r="I133" t="s">
        <v>1095</v>
      </c>
      <c r="J133" t="s">
        <v>32</v>
      </c>
      <c r="K133" t="s">
        <v>1096</v>
      </c>
      <c r="L133" t="s">
        <v>1097</v>
      </c>
      <c r="N133" t="s">
        <v>1098</v>
      </c>
      <c r="O133" t="s">
        <v>1099</v>
      </c>
      <c r="P133" t="s">
        <v>1033</v>
      </c>
      <c r="R133" t="s">
        <v>36</v>
      </c>
      <c r="S133" t="s">
        <v>422</v>
      </c>
      <c r="T133" t="s">
        <v>87</v>
      </c>
      <c r="U133">
        <v>46248.568646</v>
      </c>
      <c r="V133">
        <v>46248.609942000003</v>
      </c>
      <c r="Y133" t="s">
        <v>58</v>
      </c>
    </row>
    <row r="134" spans="2:25" x14ac:dyDescent="0.25">
      <c r="B134" t="s">
        <v>1100</v>
      </c>
      <c r="C134" t="s">
        <v>1101</v>
      </c>
      <c r="D134" t="s">
        <v>1102</v>
      </c>
      <c r="E134">
        <v>2026</v>
      </c>
      <c r="F134" t="s">
        <v>29</v>
      </c>
      <c r="H134" t="s">
        <v>552</v>
      </c>
      <c r="I134" t="s">
        <v>1103</v>
      </c>
      <c r="J134" t="s">
        <v>81</v>
      </c>
      <c r="K134" t="s">
        <v>1104</v>
      </c>
      <c r="L134" t="s">
        <v>1105</v>
      </c>
      <c r="N134" t="s">
        <v>1106</v>
      </c>
      <c r="O134" t="s">
        <v>1107</v>
      </c>
      <c r="P134" t="s">
        <v>1108</v>
      </c>
      <c r="Q134" t="s">
        <v>1109</v>
      </c>
      <c r="R134" t="s">
        <v>36</v>
      </c>
      <c r="S134" t="s">
        <v>509</v>
      </c>
      <c r="T134" t="s">
        <v>94</v>
      </c>
      <c r="U134">
        <v>46248.568646</v>
      </c>
      <c r="V134">
        <v>46297.591609000003</v>
      </c>
      <c r="Y134" t="s">
        <v>58</v>
      </c>
    </row>
    <row r="135" spans="2:25" x14ac:dyDescent="0.25">
      <c r="B135" t="s">
        <v>1110</v>
      </c>
      <c r="C135" t="s">
        <v>1111</v>
      </c>
      <c r="D135" t="s">
        <v>1112</v>
      </c>
      <c r="E135">
        <v>2026</v>
      </c>
      <c r="F135" t="s">
        <v>29</v>
      </c>
      <c r="G135" t="s">
        <v>1113</v>
      </c>
      <c r="I135" t="s">
        <v>1114</v>
      </c>
      <c r="J135" t="s">
        <v>32</v>
      </c>
      <c r="K135" t="s">
        <v>1115</v>
      </c>
      <c r="L135" t="s">
        <v>1116</v>
      </c>
      <c r="N135" t="s">
        <v>1117</v>
      </c>
      <c r="O135" t="s">
        <v>1118</v>
      </c>
      <c r="P135" t="s">
        <v>1033</v>
      </c>
      <c r="R135" t="s">
        <v>36</v>
      </c>
      <c r="S135" t="s">
        <v>37</v>
      </c>
      <c r="T135" t="s">
        <v>48</v>
      </c>
      <c r="U135">
        <v>46248.568646</v>
      </c>
      <c r="V135">
        <v>46297.573263999999</v>
      </c>
      <c r="Y135" t="s">
        <v>49</v>
      </c>
    </row>
    <row r="136" spans="2:25" x14ac:dyDescent="0.25">
      <c r="B136" t="s">
        <v>1119</v>
      </c>
      <c r="C136" t="s">
        <v>1120</v>
      </c>
      <c r="D136" t="s">
        <v>1121</v>
      </c>
      <c r="E136">
        <v>2022</v>
      </c>
      <c r="F136" t="s">
        <v>29</v>
      </c>
      <c r="G136" t="s">
        <v>1122</v>
      </c>
      <c r="H136" t="s">
        <v>690</v>
      </c>
      <c r="I136" t="s">
        <v>1123</v>
      </c>
      <c r="J136" t="s">
        <v>81</v>
      </c>
      <c r="K136" t="s">
        <v>1124</v>
      </c>
      <c r="L136" t="s">
        <v>1125</v>
      </c>
      <c r="N136" t="s">
        <v>1126</v>
      </c>
      <c r="O136" t="s">
        <v>1127</v>
      </c>
      <c r="P136" t="s">
        <v>280</v>
      </c>
      <c r="Q136" t="s">
        <v>1128</v>
      </c>
      <c r="R136" t="s">
        <v>36</v>
      </c>
      <c r="S136" t="s">
        <v>1129</v>
      </c>
      <c r="T136" t="s">
        <v>87</v>
      </c>
      <c r="U136">
        <v>46248.568646</v>
      </c>
      <c r="V136">
        <v>46252.791434999999</v>
      </c>
      <c r="Y136" t="s">
        <v>58</v>
      </c>
    </row>
    <row r="137" spans="2:25" x14ac:dyDescent="0.25">
      <c r="B137" t="s">
        <v>1130</v>
      </c>
      <c r="C137" t="s">
        <v>1131</v>
      </c>
      <c r="D137" t="s">
        <v>219</v>
      </c>
      <c r="E137">
        <v>2025</v>
      </c>
      <c r="F137" t="s">
        <v>29</v>
      </c>
      <c r="H137" t="s">
        <v>605</v>
      </c>
      <c r="I137" t="s">
        <v>1132</v>
      </c>
      <c r="J137" t="s">
        <v>81</v>
      </c>
      <c r="K137" t="s">
        <v>1133</v>
      </c>
      <c r="L137" t="s">
        <v>1134</v>
      </c>
      <c r="N137" t="s">
        <v>1135</v>
      </c>
      <c r="O137" t="s">
        <v>1136</v>
      </c>
      <c r="P137" t="s">
        <v>225</v>
      </c>
      <c r="Q137" t="s">
        <v>226</v>
      </c>
      <c r="R137" t="s">
        <v>36</v>
      </c>
      <c r="S137" t="s">
        <v>1137</v>
      </c>
      <c r="T137" t="s">
        <v>94</v>
      </c>
      <c r="U137">
        <v>46248.568646</v>
      </c>
      <c r="V137">
        <v>46297.591677999997</v>
      </c>
      <c r="Y137" t="s">
        <v>58</v>
      </c>
    </row>
    <row r="138" spans="2:25" x14ac:dyDescent="0.25">
      <c r="B138" t="s">
        <v>1138</v>
      </c>
      <c r="C138" t="s">
        <v>1139</v>
      </c>
      <c r="D138" t="s">
        <v>1140</v>
      </c>
      <c r="E138">
        <v>2022</v>
      </c>
      <c r="F138" t="s">
        <v>29</v>
      </c>
      <c r="H138" t="s">
        <v>155</v>
      </c>
      <c r="I138" t="s">
        <v>1141</v>
      </c>
      <c r="J138" t="s">
        <v>81</v>
      </c>
      <c r="K138" t="s">
        <v>1142</v>
      </c>
      <c r="L138" t="s">
        <v>1143</v>
      </c>
      <c r="N138" t="s">
        <v>1144</v>
      </c>
      <c r="P138" t="s">
        <v>558</v>
      </c>
      <c r="Q138" t="s">
        <v>1145</v>
      </c>
      <c r="R138" t="s">
        <v>36</v>
      </c>
      <c r="S138" t="s">
        <v>1146</v>
      </c>
      <c r="T138" t="s">
        <v>87</v>
      </c>
      <c r="U138">
        <v>46248.568646</v>
      </c>
      <c r="V138">
        <v>46248.616840000002</v>
      </c>
      <c r="Y138" t="s">
        <v>58</v>
      </c>
    </row>
    <row r="139" spans="2:25" x14ac:dyDescent="0.25">
      <c r="B139" t="s">
        <v>1147</v>
      </c>
      <c r="C139" t="s">
        <v>1148</v>
      </c>
      <c r="D139" t="s">
        <v>1149</v>
      </c>
      <c r="E139">
        <v>2025</v>
      </c>
      <c r="F139" t="s">
        <v>29</v>
      </c>
      <c r="G139" t="s">
        <v>1150</v>
      </c>
      <c r="H139" t="s">
        <v>1151</v>
      </c>
      <c r="I139" t="s">
        <v>1152</v>
      </c>
      <c r="J139" t="s">
        <v>81</v>
      </c>
      <c r="K139" t="s">
        <v>1153</v>
      </c>
      <c r="L139" t="s">
        <v>1154</v>
      </c>
      <c r="N139" t="s">
        <v>1155</v>
      </c>
      <c r="O139" t="s">
        <v>1156</v>
      </c>
      <c r="P139" t="s">
        <v>280</v>
      </c>
      <c r="Q139" t="s">
        <v>1157</v>
      </c>
      <c r="R139" t="s">
        <v>36</v>
      </c>
      <c r="S139" t="s">
        <v>216</v>
      </c>
      <c r="T139" t="s">
        <v>94</v>
      </c>
      <c r="U139">
        <v>46248.568646</v>
      </c>
      <c r="V139">
        <v>46297.591770999999</v>
      </c>
      <c r="Y139" t="s">
        <v>58</v>
      </c>
    </row>
    <row r="140" spans="2:25" x14ac:dyDescent="0.25">
      <c r="B140" t="s">
        <v>1158</v>
      </c>
      <c r="C140" t="s">
        <v>1159</v>
      </c>
      <c r="D140" t="s">
        <v>1160</v>
      </c>
      <c r="E140">
        <v>2026</v>
      </c>
      <c r="F140" t="s">
        <v>29</v>
      </c>
      <c r="G140" t="s">
        <v>1161</v>
      </c>
      <c r="H140" t="s">
        <v>1162</v>
      </c>
      <c r="I140" t="s">
        <v>1163</v>
      </c>
      <c r="J140" t="s">
        <v>81</v>
      </c>
      <c r="K140" t="s">
        <v>1164</v>
      </c>
      <c r="L140" t="s">
        <v>1165</v>
      </c>
      <c r="N140" t="s">
        <v>1166</v>
      </c>
      <c r="O140" t="s">
        <v>1167</v>
      </c>
      <c r="P140" t="s">
        <v>246</v>
      </c>
      <c r="Q140" t="s">
        <v>1168</v>
      </c>
      <c r="R140" t="s">
        <v>36</v>
      </c>
      <c r="S140" t="s">
        <v>37</v>
      </c>
      <c r="T140" t="s">
        <v>94</v>
      </c>
      <c r="U140">
        <v>46248.568646</v>
      </c>
      <c r="V140">
        <v>46297.591724999998</v>
      </c>
      <c r="Y140" t="s">
        <v>58</v>
      </c>
    </row>
    <row r="141" spans="2:25" x14ac:dyDescent="0.25">
      <c r="B141" t="s">
        <v>1169</v>
      </c>
      <c r="C141" t="s">
        <v>1170</v>
      </c>
      <c r="D141" t="s">
        <v>1171</v>
      </c>
      <c r="E141">
        <v>2024</v>
      </c>
      <c r="F141" t="s">
        <v>29</v>
      </c>
      <c r="H141" t="s">
        <v>1172</v>
      </c>
      <c r="I141" t="s">
        <v>1173</v>
      </c>
      <c r="J141" t="s">
        <v>81</v>
      </c>
      <c r="K141" t="s">
        <v>1174</v>
      </c>
      <c r="L141" t="s">
        <v>1175</v>
      </c>
      <c r="N141" t="s">
        <v>1176</v>
      </c>
      <c r="O141" t="s">
        <v>1177</v>
      </c>
      <c r="P141" t="s">
        <v>225</v>
      </c>
      <c r="Q141" t="s">
        <v>1178</v>
      </c>
      <c r="R141" t="s">
        <v>36</v>
      </c>
      <c r="S141" t="s">
        <v>1179</v>
      </c>
      <c r="T141" t="s">
        <v>94</v>
      </c>
      <c r="U141">
        <v>46248.568646</v>
      </c>
      <c r="V141">
        <v>46297.591817</v>
      </c>
      <c r="Y141" t="s">
        <v>58</v>
      </c>
    </row>
    <row r="142" spans="2:25" x14ac:dyDescent="0.25">
      <c r="B142" t="s">
        <v>917</v>
      </c>
      <c r="C142" t="s">
        <v>918</v>
      </c>
      <c r="D142" t="s">
        <v>1180</v>
      </c>
      <c r="E142">
        <v>2025</v>
      </c>
      <c r="F142" t="s">
        <v>29</v>
      </c>
      <c r="I142" t="s">
        <v>1181</v>
      </c>
      <c r="J142" t="s">
        <v>32</v>
      </c>
      <c r="K142" t="s">
        <v>920</v>
      </c>
      <c r="L142" t="s">
        <v>1182</v>
      </c>
      <c r="N142" t="s">
        <v>1183</v>
      </c>
      <c r="O142" t="s">
        <v>1184</v>
      </c>
      <c r="P142" t="s">
        <v>35</v>
      </c>
      <c r="R142" t="s">
        <v>36</v>
      </c>
      <c r="S142" t="s">
        <v>261</v>
      </c>
      <c r="T142" t="s">
        <v>48</v>
      </c>
      <c r="U142">
        <v>46248.568646</v>
      </c>
      <c r="V142">
        <v>46297.573842999998</v>
      </c>
      <c r="Y142" t="s">
        <v>49</v>
      </c>
    </row>
    <row r="143" spans="2:25" x14ac:dyDescent="0.25">
      <c r="B143" t="s">
        <v>1185</v>
      </c>
      <c r="C143" t="s">
        <v>1186</v>
      </c>
      <c r="D143" t="s">
        <v>1187</v>
      </c>
      <c r="E143">
        <v>2026</v>
      </c>
      <c r="F143" t="s">
        <v>29</v>
      </c>
      <c r="H143" t="s">
        <v>1188</v>
      </c>
      <c r="I143" t="s">
        <v>1189</v>
      </c>
      <c r="J143" t="s">
        <v>81</v>
      </c>
      <c r="K143" t="s">
        <v>1190</v>
      </c>
      <c r="L143" t="s">
        <v>1191</v>
      </c>
      <c r="N143" t="s">
        <v>1192</v>
      </c>
      <c r="O143" t="s">
        <v>1193</v>
      </c>
      <c r="P143" t="s">
        <v>1194</v>
      </c>
      <c r="Q143" t="s">
        <v>1195</v>
      </c>
      <c r="R143" t="s">
        <v>36</v>
      </c>
      <c r="S143" t="s">
        <v>422</v>
      </c>
      <c r="T143" t="s">
        <v>48</v>
      </c>
      <c r="U143">
        <v>46248.568646</v>
      </c>
      <c r="V143">
        <v>46297.573808000001</v>
      </c>
      <c r="Y143" t="s">
        <v>49</v>
      </c>
    </row>
    <row r="144" spans="2:25" x14ac:dyDescent="0.25">
      <c r="B144" t="s">
        <v>1196</v>
      </c>
      <c r="C144" t="s">
        <v>1197</v>
      </c>
      <c r="D144" t="s">
        <v>1198</v>
      </c>
      <c r="E144">
        <v>2023</v>
      </c>
      <c r="F144" t="s">
        <v>29</v>
      </c>
      <c r="H144" t="s">
        <v>1199</v>
      </c>
      <c r="I144" t="s">
        <v>1200</v>
      </c>
      <c r="J144" t="s">
        <v>81</v>
      </c>
      <c r="K144" t="s">
        <v>1201</v>
      </c>
      <c r="L144" t="s">
        <v>1202</v>
      </c>
      <c r="N144" t="s">
        <v>1203</v>
      </c>
      <c r="O144" t="s">
        <v>1204</v>
      </c>
      <c r="P144" t="s">
        <v>558</v>
      </c>
      <c r="Q144" t="s">
        <v>1205</v>
      </c>
      <c r="R144" t="s">
        <v>36</v>
      </c>
      <c r="S144" t="s">
        <v>1206</v>
      </c>
      <c r="T144" t="s">
        <v>87</v>
      </c>
      <c r="U144">
        <v>46248.568646</v>
      </c>
      <c r="V144">
        <v>46252.616330999997</v>
      </c>
      <c r="Y144" t="s">
        <v>58</v>
      </c>
    </row>
    <row r="145" spans="2:25" x14ac:dyDescent="0.25">
      <c r="B145" t="s">
        <v>1207</v>
      </c>
      <c r="C145" t="s">
        <v>1208</v>
      </c>
      <c r="D145" t="s">
        <v>1209</v>
      </c>
      <c r="E145">
        <v>2025</v>
      </c>
      <c r="F145" t="s">
        <v>29</v>
      </c>
      <c r="G145" t="s">
        <v>1210</v>
      </c>
      <c r="H145" t="s">
        <v>391</v>
      </c>
      <c r="I145" t="s">
        <v>1211</v>
      </c>
      <c r="J145" t="s">
        <v>81</v>
      </c>
      <c r="K145" t="s">
        <v>1212</v>
      </c>
      <c r="L145" t="s">
        <v>1213</v>
      </c>
      <c r="N145" t="s">
        <v>1214</v>
      </c>
      <c r="O145" t="s">
        <v>1215</v>
      </c>
      <c r="P145" t="s">
        <v>35</v>
      </c>
      <c r="Q145" t="s">
        <v>1216</v>
      </c>
      <c r="R145" t="s">
        <v>36</v>
      </c>
      <c r="S145" t="s">
        <v>642</v>
      </c>
      <c r="T145" t="s">
        <v>94</v>
      </c>
      <c r="U145">
        <v>46248.568646</v>
      </c>
      <c r="V145">
        <v>46297.591910000003</v>
      </c>
      <c r="Y145" t="s">
        <v>58</v>
      </c>
    </row>
    <row r="146" spans="2:25" x14ac:dyDescent="0.25">
      <c r="B146" t="s">
        <v>1217</v>
      </c>
      <c r="C146" t="s">
        <v>1218</v>
      </c>
      <c r="D146" t="s">
        <v>1149</v>
      </c>
      <c r="E146">
        <v>2024</v>
      </c>
      <c r="F146" t="s">
        <v>29</v>
      </c>
      <c r="G146" t="s">
        <v>1219</v>
      </c>
      <c r="H146" t="s">
        <v>513</v>
      </c>
      <c r="I146" t="s">
        <v>1220</v>
      </c>
      <c r="J146" t="s">
        <v>81</v>
      </c>
      <c r="K146" t="s">
        <v>1221</v>
      </c>
      <c r="L146" t="s">
        <v>1222</v>
      </c>
      <c r="N146" t="s">
        <v>1223</v>
      </c>
      <c r="O146" t="s">
        <v>1224</v>
      </c>
      <c r="P146" t="s">
        <v>280</v>
      </c>
      <c r="Q146" t="s">
        <v>1157</v>
      </c>
      <c r="R146" t="s">
        <v>36</v>
      </c>
      <c r="S146" t="s">
        <v>1225</v>
      </c>
      <c r="T146" t="s">
        <v>57</v>
      </c>
      <c r="U146">
        <v>46248.568646</v>
      </c>
      <c r="V146">
        <v>46297.586156999998</v>
      </c>
      <c r="Y146" t="s">
        <v>58</v>
      </c>
    </row>
    <row r="147" spans="2:25" x14ac:dyDescent="0.25">
      <c r="B147" t="s">
        <v>1226</v>
      </c>
      <c r="C147" t="s">
        <v>1227</v>
      </c>
      <c r="D147" t="s">
        <v>219</v>
      </c>
      <c r="E147">
        <v>2025</v>
      </c>
      <c r="F147" t="s">
        <v>29</v>
      </c>
      <c r="H147" t="s">
        <v>605</v>
      </c>
      <c r="I147" t="s">
        <v>1228</v>
      </c>
      <c r="J147" t="s">
        <v>81</v>
      </c>
      <c r="K147" t="s">
        <v>1229</v>
      </c>
      <c r="L147" t="s">
        <v>1230</v>
      </c>
      <c r="N147" t="s">
        <v>1231</v>
      </c>
      <c r="O147" t="s">
        <v>1232</v>
      </c>
      <c r="P147" t="s">
        <v>225</v>
      </c>
      <c r="Q147" t="s">
        <v>226</v>
      </c>
      <c r="R147" t="s">
        <v>36</v>
      </c>
      <c r="S147" t="s">
        <v>1233</v>
      </c>
      <c r="T147" t="s">
        <v>87</v>
      </c>
      <c r="U147">
        <v>46248.568646</v>
      </c>
      <c r="V147">
        <v>46252.617616000003</v>
      </c>
      <c r="Y147" t="s">
        <v>58</v>
      </c>
    </row>
    <row r="148" spans="2:25" x14ac:dyDescent="0.25">
      <c r="B148" t="s">
        <v>1234</v>
      </c>
      <c r="C148" t="s">
        <v>1235</v>
      </c>
      <c r="D148" t="s">
        <v>355</v>
      </c>
      <c r="E148">
        <v>2025</v>
      </c>
      <c r="F148" t="s">
        <v>29</v>
      </c>
      <c r="G148" t="s">
        <v>1236</v>
      </c>
      <c r="H148" t="s">
        <v>605</v>
      </c>
      <c r="I148" t="s">
        <v>1237</v>
      </c>
      <c r="J148" t="s">
        <v>81</v>
      </c>
      <c r="K148" t="s">
        <v>1238</v>
      </c>
      <c r="L148" t="s">
        <v>1239</v>
      </c>
      <c r="N148" t="s">
        <v>1240</v>
      </c>
      <c r="P148" t="s">
        <v>355</v>
      </c>
      <c r="Q148" t="s">
        <v>361</v>
      </c>
      <c r="R148" t="s">
        <v>36</v>
      </c>
      <c r="S148" t="s">
        <v>881</v>
      </c>
      <c r="T148" t="s">
        <v>87</v>
      </c>
      <c r="U148">
        <v>46248.568646</v>
      </c>
      <c r="V148">
        <v>46252.617383999997</v>
      </c>
      <c r="Y148" t="s">
        <v>58</v>
      </c>
    </row>
    <row r="149" spans="2:25" x14ac:dyDescent="0.25">
      <c r="B149" t="s">
        <v>1241</v>
      </c>
      <c r="C149" t="s">
        <v>1242</v>
      </c>
      <c r="D149" t="s">
        <v>1243</v>
      </c>
      <c r="E149">
        <v>2025</v>
      </c>
      <c r="F149" t="s">
        <v>29</v>
      </c>
      <c r="I149" t="s">
        <v>1244</v>
      </c>
      <c r="J149" t="s">
        <v>32</v>
      </c>
      <c r="K149" t="s">
        <v>1245</v>
      </c>
      <c r="L149" t="s">
        <v>1246</v>
      </c>
      <c r="N149" t="s">
        <v>1247</v>
      </c>
      <c r="O149" t="s">
        <v>1248</v>
      </c>
      <c r="P149" t="s">
        <v>35</v>
      </c>
      <c r="R149" t="s">
        <v>36</v>
      </c>
      <c r="S149" t="s">
        <v>37</v>
      </c>
      <c r="T149" t="s">
        <v>94</v>
      </c>
      <c r="U149">
        <v>46248.568646</v>
      </c>
      <c r="V149">
        <v>46297.591978999997</v>
      </c>
      <c r="Y149" t="s">
        <v>58</v>
      </c>
    </row>
    <row r="150" spans="2:25" x14ac:dyDescent="0.25">
      <c r="B150" t="s">
        <v>1249</v>
      </c>
      <c r="C150" t="s">
        <v>1250</v>
      </c>
      <c r="D150" t="s">
        <v>1251</v>
      </c>
      <c r="E150">
        <v>2025</v>
      </c>
      <c r="F150" t="s">
        <v>29</v>
      </c>
      <c r="G150" t="s">
        <v>1252</v>
      </c>
      <c r="I150" t="s">
        <v>1253</v>
      </c>
      <c r="J150" t="s">
        <v>32</v>
      </c>
      <c r="K150" t="s">
        <v>1254</v>
      </c>
      <c r="L150" t="s">
        <v>1255</v>
      </c>
      <c r="N150" t="s">
        <v>1256</v>
      </c>
      <c r="O150" t="s">
        <v>1257</v>
      </c>
      <c r="P150" t="s">
        <v>35</v>
      </c>
      <c r="R150" t="s">
        <v>36</v>
      </c>
      <c r="S150" t="s">
        <v>37</v>
      </c>
      <c r="T150" t="s">
        <v>87</v>
      </c>
      <c r="U150">
        <v>46248.568646</v>
      </c>
      <c r="V150">
        <v>46254.031343000002</v>
      </c>
      <c r="Y150" t="s">
        <v>58</v>
      </c>
    </row>
    <row r="151" spans="2:25" x14ac:dyDescent="0.25">
      <c r="B151" t="s">
        <v>1258</v>
      </c>
      <c r="C151" t="s">
        <v>1259</v>
      </c>
      <c r="D151" t="s">
        <v>1260</v>
      </c>
      <c r="E151">
        <v>2025</v>
      </c>
      <c r="F151" t="s">
        <v>29</v>
      </c>
      <c r="H151" t="s">
        <v>1261</v>
      </c>
      <c r="I151" t="s">
        <v>1262</v>
      </c>
      <c r="J151" t="s">
        <v>81</v>
      </c>
      <c r="K151" t="s">
        <v>1263</v>
      </c>
      <c r="L151" t="s">
        <v>1264</v>
      </c>
      <c r="N151" t="s">
        <v>1265</v>
      </c>
      <c r="O151" t="s">
        <v>1266</v>
      </c>
      <c r="P151" t="s">
        <v>225</v>
      </c>
      <c r="Q151" t="s">
        <v>1267</v>
      </c>
      <c r="R151" t="s">
        <v>36</v>
      </c>
      <c r="S151" t="s">
        <v>1233</v>
      </c>
      <c r="T151" t="s">
        <v>94</v>
      </c>
      <c r="U151">
        <v>46248.568646</v>
      </c>
      <c r="V151">
        <v>46297.592037000002</v>
      </c>
      <c r="Y151" t="s">
        <v>58</v>
      </c>
    </row>
    <row r="152" spans="2:25" x14ac:dyDescent="0.25">
      <c r="B152" t="s">
        <v>1268</v>
      </c>
      <c r="C152" t="s">
        <v>1269</v>
      </c>
      <c r="D152" t="s">
        <v>1270</v>
      </c>
      <c r="E152">
        <v>2022</v>
      </c>
      <c r="F152" t="s">
        <v>29</v>
      </c>
      <c r="H152" t="s">
        <v>1271</v>
      </c>
      <c r="I152" t="s">
        <v>1272</v>
      </c>
      <c r="J152" t="s">
        <v>81</v>
      </c>
      <c r="K152" t="s">
        <v>1273</v>
      </c>
      <c r="L152" t="s">
        <v>1274</v>
      </c>
      <c r="N152" t="s">
        <v>1275</v>
      </c>
      <c r="P152" t="s">
        <v>803</v>
      </c>
      <c r="Q152" t="s">
        <v>1276</v>
      </c>
      <c r="R152" t="s">
        <v>36</v>
      </c>
      <c r="S152" t="s">
        <v>1277</v>
      </c>
      <c r="T152" t="s">
        <v>87</v>
      </c>
      <c r="U152">
        <v>46248.568646</v>
      </c>
      <c r="V152">
        <v>46252.620301000003</v>
      </c>
      <c r="Y152" t="s">
        <v>58</v>
      </c>
    </row>
    <row r="153" spans="2:25" x14ac:dyDescent="0.25">
      <c r="B153" t="s">
        <v>1278</v>
      </c>
      <c r="C153" t="s">
        <v>1279</v>
      </c>
      <c r="D153" t="s">
        <v>1280</v>
      </c>
      <c r="E153">
        <v>2025</v>
      </c>
      <c r="F153" t="s">
        <v>29</v>
      </c>
      <c r="G153" t="s">
        <v>1281</v>
      </c>
      <c r="I153" t="s">
        <v>1282</v>
      </c>
      <c r="J153" t="s">
        <v>32</v>
      </c>
      <c r="K153" t="s">
        <v>1283</v>
      </c>
      <c r="L153" t="s">
        <v>1284</v>
      </c>
      <c r="N153" t="s">
        <v>1285</v>
      </c>
      <c r="O153" t="s">
        <v>1286</v>
      </c>
      <c r="P153" t="s">
        <v>1033</v>
      </c>
      <c r="R153" t="s">
        <v>36</v>
      </c>
      <c r="S153" t="s">
        <v>422</v>
      </c>
      <c r="T153" t="s">
        <v>94</v>
      </c>
      <c r="U153">
        <v>46248.568646</v>
      </c>
      <c r="V153">
        <v>46297.592095</v>
      </c>
      <c r="Y153" t="s">
        <v>58</v>
      </c>
    </row>
    <row r="154" spans="2:25" x14ac:dyDescent="0.25">
      <c r="B154" t="s">
        <v>1287</v>
      </c>
      <c r="C154" t="s">
        <v>1288</v>
      </c>
      <c r="D154" t="s">
        <v>462</v>
      </c>
      <c r="E154">
        <v>2025</v>
      </c>
      <c r="F154" t="s">
        <v>29</v>
      </c>
      <c r="G154" t="s">
        <v>1289</v>
      </c>
      <c r="H154" t="s">
        <v>1290</v>
      </c>
      <c r="I154" t="s">
        <v>1291</v>
      </c>
      <c r="J154" t="s">
        <v>32</v>
      </c>
      <c r="K154" t="s">
        <v>1292</v>
      </c>
      <c r="L154" t="s">
        <v>1293</v>
      </c>
      <c r="N154" t="s">
        <v>1294</v>
      </c>
      <c r="O154" t="s">
        <v>1295</v>
      </c>
      <c r="P154" t="s">
        <v>259</v>
      </c>
      <c r="Q154" t="s">
        <v>470</v>
      </c>
      <c r="R154" t="s">
        <v>36</v>
      </c>
      <c r="S154" t="s">
        <v>37</v>
      </c>
      <c r="T154" t="s">
        <v>94</v>
      </c>
      <c r="U154">
        <v>46248.568646</v>
      </c>
      <c r="V154">
        <v>46297.592419000001</v>
      </c>
      <c r="Y154" t="s">
        <v>58</v>
      </c>
    </row>
    <row r="155" spans="2:25" x14ac:dyDescent="0.25">
      <c r="B155" t="s">
        <v>1296</v>
      </c>
      <c r="C155" t="s">
        <v>1297</v>
      </c>
      <c r="D155" t="s">
        <v>1209</v>
      </c>
      <c r="E155">
        <v>2025</v>
      </c>
      <c r="F155" t="s">
        <v>29</v>
      </c>
      <c r="G155" t="s">
        <v>1298</v>
      </c>
      <c r="H155" t="s">
        <v>391</v>
      </c>
      <c r="I155" t="s">
        <v>1299</v>
      </c>
      <c r="J155" t="s">
        <v>81</v>
      </c>
      <c r="K155" t="s">
        <v>1300</v>
      </c>
      <c r="L155" t="s">
        <v>1301</v>
      </c>
      <c r="N155" t="s">
        <v>1302</v>
      </c>
      <c r="O155" t="s">
        <v>1303</v>
      </c>
      <c r="P155" t="s">
        <v>35</v>
      </c>
      <c r="Q155" t="s">
        <v>1216</v>
      </c>
      <c r="R155" t="s">
        <v>36</v>
      </c>
      <c r="S155" t="s">
        <v>1304</v>
      </c>
      <c r="T155" t="s">
        <v>94</v>
      </c>
      <c r="U155">
        <v>46248.568646</v>
      </c>
      <c r="V155">
        <v>46297.592349999999</v>
      </c>
      <c r="Y155" t="s">
        <v>58</v>
      </c>
    </row>
    <row r="156" spans="2:25" x14ac:dyDescent="0.25">
      <c r="B156" t="s">
        <v>1305</v>
      </c>
      <c r="C156" t="s">
        <v>1306</v>
      </c>
      <c r="D156" t="s">
        <v>1307</v>
      </c>
      <c r="E156">
        <v>2022</v>
      </c>
      <c r="F156" t="s">
        <v>29</v>
      </c>
      <c r="H156" t="s">
        <v>720</v>
      </c>
      <c r="I156" t="s">
        <v>1308</v>
      </c>
      <c r="J156" t="s">
        <v>81</v>
      </c>
      <c r="K156" t="s">
        <v>1309</v>
      </c>
      <c r="L156" t="s">
        <v>1310</v>
      </c>
      <c r="N156" t="s">
        <v>1311</v>
      </c>
      <c r="O156" t="s">
        <v>1312</v>
      </c>
      <c r="P156" t="s">
        <v>803</v>
      </c>
      <c r="Q156" t="s">
        <v>1313</v>
      </c>
      <c r="R156" t="s">
        <v>36</v>
      </c>
      <c r="S156" t="s">
        <v>1137</v>
      </c>
      <c r="T156" t="s">
        <v>94</v>
      </c>
      <c r="U156">
        <v>46248.568646</v>
      </c>
      <c r="V156">
        <v>46297.592302999998</v>
      </c>
      <c r="Y156" t="s">
        <v>58</v>
      </c>
    </row>
    <row r="157" spans="2:25" x14ac:dyDescent="0.25">
      <c r="B157" t="s">
        <v>1314</v>
      </c>
      <c r="C157" t="s">
        <v>1315</v>
      </c>
      <c r="D157" t="s">
        <v>1316</v>
      </c>
      <c r="E157">
        <v>2025</v>
      </c>
      <c r="F157" t="s">
        <v>29</v>
      </c>
      <c r="G157" t="s">
        <v>1317</v>
      </c>
      <c r="H157" t="s">
        <v>1318</v>
      </c>
      <c r="I157" t="s">
        <v>1319</v>
      </c>
      <c r="J157" t="s">
        <v>81</v>
      </c>
      <c r="K157" t="s">
        <v>1320</v>
      </c>
      <c r="L157" t="s">
        <v>1321</v>
      </c>
      <c r="N157" t="s">
        <v>1322</v>
      </c>
      <c r="O157" t="s">
        <v>1323</v>
      </c>
      <c r="P157" t="s">
        <v>246</v>
      </c>
      <c r="Q157" t="s">
        <v>1324</v>
      </c>
      <c r="R157" t="s">
        <v>36</v>
      </c>
      <c r="S157" t="s">
        <v>37</v>
      </c>
      <c r="T157" t="s">
        <v>94</v>
      </c>
      <c r="U157">
        <v>46248.568646</v>
      </c>
      <c r="V157">
        <v>46297.592256999997</v>
      </c>
      <c r="Y157" t="s">
        <v>58</v>
      </c>
    </row>
    <row r="158" spans="2:25" x14ac:dyDescent="0.25">
      <c r="B158" t="s">
        <v>1325</v>
      </c>
      <c r="C158" t="s">
        <v>1326</v>
      </c>
      <c r="D158" t="s">
        <v>196</v>
      </c>
      <c r="E158">
        <v>2025</v>
      </c>
      <c r="F158" t="s">
        <v>29</v>
      </c>
      <c r="H158" t="s">
        <v>1327</v>
      </c>
      <c r="I158" t="s">
        <v>1328</v>
      </c>
      <c r="J158" t="s">
        <v>81</v>
      </c>
      <c r="K158" t="s">
        <v>1329</v>
      </c>
      <c r="L158" t="s">
        <v>1330</v>
      </c>
      <c r="N158" t="s">
        <v>1331</v>
      </c>
      <c r="O158" t="s">
        <v>1332</v>
      </c>
      <c r="P158" t="s">
        <v>120</v>
      </c>
      <c r="Q158" t="s">
        <v>203</v>
      </c>
      <c r="R158" t="s">
        <v>36</v>
      </c>
      <c r="S158" t="s">
        <v>1333</v>
      </c>
      <c r="T158" t="s">
        <v>87</v>
      </c>
      <c r="U158">
        <v>46248.568646</v>
      </c>
      <c r="V158">
        <v>46252.794200999997</v>
      </c>
      <c r="Y158" t="s">
        <v>58</v>
      </c>
    </row>
    <row r="159" spans="2:25" x14ac:dyDescent="0.25">
      <c r="B159" t="s">
        <v>1334</v>
      </c>
      <c r="C159" t="s">
        <v>1335</v>
      </c>
      <c r="D159" t="s">
        <v>251</v>
      </c>
      <c r="E159">
        <v>2026</v>
      </c>
      <c r="F159" t="s">
        <v>29</v>
      </c>
      <c r="G159" t="s">
        <v>1336</v>
      </c>
      <c r="H159" t="s">
        <v>1337</v>
      </c>
      <c r="I159" t="s">
        <v>1338</v>
      </c>
      <c r="J159" t="s">
        <v>32</v>
      </c>
      <c r="K159" t="s">
        <v>1339</v>
      </c>
      <c r="L159" t="s">
        <v>1340</v>
      </c>
      <c r="N159" t="s">
        <v>1341</v>
      </c>
      <c r="O159" t="s">
        <v>1342</v>
      </c>
      <c r="P159" t="s">
        <v>259</v>
      </c>
      <c r="Q159" t="s">
        <v>260</v>
      </c>
      <c r="R159" t="s">
        <v>36</v>
      </c>
      <c r="S159" t="s">
        <v>1343</v>
      </c>
      <c r="T159" t="s">
        <v>87</v>
      </c>
      <c r="U159">
        <v>46248.568646</v>
      </c>
      <c r="V159">
        <v>46252.586689999996</v>
      </c>
      <c r="Y159" t="s">
        <v>58</v>
      </c>
    </row>
    <row r="160" spans="2:25" x14ac:dyDescent="0.25">
      <c r="B160" t="s">
        <v>1344</v>
      </c>
      <c r="C160" t="s">
        <v>1345</v>
      </c>
      <c r="D160" t="s">
        <v>1346</v>
      </c>
      <c r="E160">
        <v>2024</v>
      </c>
      <c r="F160" t="s">
        <v>29</v>
      </c>
      <c r="G160" t="s">
        <v>1347</v>
      </c>
      <c r="H160" t="s">
        <v>1086</v>
      </c>
      <c r="I160" t="s">
        <v>1348</v>
      </c>
      <c r="J160" t="s">
        <v>81</v>
      </c>
      <c r="K160" t="s">
        <v>1349</v>
      </c>
      <c r="L160" t="s">
        <v>1350</v>
      </c>
      <c r="N160" t="s">
        <v>1351</v>
      </c>
      <c r="O160" t="s">
        <v>1352</v>
      </c>
      <c r="P160" t="s">
        <v>1353</v>
      </c>
      <c r="Q160" t="s">
        <v>1354</v>
      </c>
      <c r="R160" t="s">
        <v>36</v>
      </c>
      <c r="S160" t="s">
        <v>422</v>
      </c>
      <c r="T160" t="s">
        <v>87</v>
      </c>
      <c r="U160">
        <v>46248.568646</v>
      </c>
      <c r="V160">
        <v>46251.849595</v>
      </c>
      <c r="Y160" t="s">
        <v>58</v>
      </c>
    </row>
    <row r="161" spans="2:25" x14ac:dyDescent="0.25">
      <c r="B161" t="s">
        <v>1355</v>
      </c>
      <c r="C161" t="s">
        <v>1356</v>
      </c>
      <c r="D161" t="s">
        <v>219</v>
      </c>
      <c r="E161">
        <v>2022</v>
      </c>
      <c r="F161" t="s">
        <v>29</v>
      </c>
      <c r="H161" t="s">
        <v>296</v>
      </c>
      <c r="I161" t="s">
        <v>1357</v>
      </c>
      <c r="J161" t="s">
        <v>81</v>
      </c>
      <c r="K161" t="s">
        <v>1358</v>
      </c>
      <c r="L161" t="s">
        <v>1359</v>
      </c>
      <c r="N161" t="s">
        <v>1360</v>
      </c>
      <c r="P161" t="s">
        <v>803</v>
      </c>
      <c r="Q161" t="s">
        <v>226</v>
      </c>
      <c r="R161" t="s">
        <v>36</v>
      </c>
      <c r="S161" t="s">
        <v>1361</v>
      </c>
      <c r="T161" t="s">
        <v>94</v>
      </c>
      <c r="U161">
        <v>46248.568646</v>
      </c>
      <c r="V161">
        <v>46297.592535000003</v>
      </c>
      <c r="Y161" t="s">
        <v>58</v>
      </c>
    </row>
    <row r="162" spans="2:25" x14ac:dyDescent="0.25">
      <c r="B162" t="s">
        <v>1362</v>
      </c>
      <c r="C162" t="s">
        <v>1363</v>
      </c>
      <c r="D162" t="s">
        <v>1364</v>
      </c>
      <c r="E162">
        <v>2025</v>
      </c>
      <c r="F162" t="s">
        <v>29</v>
      </c>
      <c r="I162" t="s">
        <v>1365</v>
      </c>
      <c r="J162" t="s">
        <v>32</v>
      </c>
      <c r="K162" t="s">
        <v>1366</v>
      </c>
      <c r="L162" t="s">
        <v>1367</v>
      </c>
      <c r="N162" t="s">
        <v>1368</v>
      </c>
      <c r="O162" t="s">
        <v>1369</v>
      </c>
      <c r="P162" t="s">
        <v>35</v>
      </c>
      <c r="R162" t="s">
        <v>36</v>
      </c>
      <c r="S162" t="s">
        <v>37</v>
      </c>
      <c r="T162" t="s">
        <v>94</v>
      </c>
      <c r="U162">
        <v>46248.568646</v>
      </c>
      <c r="V162">
        <v>46297.592499999999</v>
      </c>
      <c r="Y162" t="s">
        <v>58</v>
      </c>
    </row>
    <row r="163" spans="2:25" x14ac:dyDescent="0.25">
      <c r="B163" t="s">
        <v>1370</v>
      </c>
      <c r="C163" t="s">
        <v>1371</v>
      </c>
      <c r="D163" t="s">
        <v>1372</v>
      </c>
      <c r="E163">
        <v>2025</v>
      </c>
      <c r="F163" t="s">
        <v>29</v>
      </c>
      <c r="G163" t="s">
        <v>1373</v>
      </c>
      <c r="I163" t="s">
        <v>1374</v>
      </c>
      <c r="J163" t="s">
        <v>32</v>
      </c>
      <c r="K163" t="s">
        <v>1375</v>
      </c>
      <c r="L163" t="s">
        <v>1376</v>
      </c>
      <c r="N163" t="s">
        <v>1377</v>
      </c>
      <c r="O163" t="s">
        <v>1378</v>
      </c>
      <c r="P163" t="s">
        <v>1033</v>
      </c>
      <c r="R163" t="s">
        <v>36</v>
      </c>
      <c r="S163" t="s">
        <v>422</v>
      </c>
      <c r="T163" t="s">
        <v>87</v>
      </c>
      <c r="U163">
        <v>46248.568646</v>
      </c>
      <c r="V163">
        <v>46252.775867999997</v>
      </c>
      <c r="Y163" t="s">
        <v>58</v>
      </c>
    </row>
    <row r="164" spans="2:25" x14ac:dyDescent="0.25">
      <c r="B164" t="s">
        <v>1379</v>
      </c>
      <c r="C164" t="s">
        <v>1380</v>
      </c>
      <c r="D164" t="s">
        <v>1381</v>
      </c>
      <c r="E164">
        <v>2025</v>
      </c>
      <c r="F164" t="s">
        <v>29</v>
      </c>
      <c r="G164" t="s">
        <v>1382</v>
      </c>
      <c r="I164" t="s">
        <v>1383</v>
      </c>
      <c r="J164" t="s">
        <v>32</v>
      </c>
      <c r="K164" t="s">
        <v>1384</v>
      </c>
      <c r="L164" t="s">
        <v>1385</v>
      </c>
      <c r="N164" t="s">
        <v>1386</v>
      </c>
      <c r="O164" t="s">
        <v>1387</v>
      </c>
      <c r="P164" t="s">
        <v>35</v>
      </c>
      <c r="R164" t="s">
        <v>36</v>
      </c>
      <c r="S164" t="s">
        <v>344</v>
      </c>
      <c r="T164" t="s">
        <v>94</v>
      </c>
      <c r="U164">
        <v>46248.568646</v>
      </c>
      <c r="V164">
        <v>46297.592674</v>
      </c>
      <c r="Y164" t="s">
        <v>58</v>
      </c>
    </row>
    <row r="165" spans="2:25" x14ac:dyDescent="0.25">
      <c r="B165" t="s">
        <v>1388</v>
      </c>
      <c r="C165" t="s">
        <v>1389</v>
      </c>
      <c r="D165" t="s">
        <v>1390</v>
      </c>
      <c r="E165">
        <v>2025</v>
      </c>
      <c r="F165" t="s">
        <v>29</v>
      </c>
      <c r="G165" t="s">
        <v>1391</v>
      </c>
      <c r="H165" t="s">
        <v>1172</v>
      </c>
      <c r="I165" t="s">
        <v>1392</v>
      </c>
      <c r="J165" t="s">
        <v>81</v>
      </c>
      <c r="K165" t="s">
        <v>1393</v>
      </c>
      <c r="L165" t="s">
        <v>1394</v>
      </c>
      <c r="N165" t="s">
        <v>1395</v>
      </c>
      <c r="P165" t="s">
        <v>1396</v>
      </c>
      <c r="Q165" t="s">
        <v>1397</v>
      </c>
      <c r="R165" t="s">
        <v>36</v>
      </c>
      <c r="S165" t="s">
        <v>1398</v>
      </c>
      <c r="T165" t="s">
        <v>94</v>
      </c>
      <c r="U165">
        <v>46248.568646</v>
      </c>
      <c r="V165">
        <v>46297.592580999997</v>
      </c>
      <c r="Y165" t="s">
        <v>58</v>
      </c>
    </row>
    <row r="166" spans="2:25" x14ac:dyDescent="0.25">
      <c r="B166" t="s">
        <v>1399</v>
      </c>
      <c r="C166" t="s">
        <v>1400</v>
      </c>
      <c r="D166" t="s">
        <v>1346</v>
      </c>
      <c r="E166">
        <v>2025</v>
      </c>
      <c r="F166" t="s">
        <v>29</v>
      </c>
      <c r="G166" t="s">
        <v>1401</v>
      </c>
      <c r="H166" t="s">
        <v>1162</v>
      </c>
      <c r="I166" t="s">
        <v>1402</v>
      </c>
      <c r="J166" t="s">
        <v>81</v>
      </c>
      <c r="K166" t="s">
        <v>1403</v>
      </c>
      <c r="L166" t="s">
        <v>1404</v>
      </c>
      <c r="N166" t="s">
        <v>1405</v>
      </c>
      <c r="O166" t="s">
        <v>1406</v>
      </c>
      <c r="P166" t="s">
        <v>1353</v>
      </c>
      <c r="Q166" t="s">
        <v>1354</v>
      </c>
      <c r="R166" t="s">
        <v>36</v>
      </c>
      <c r="S166" t="s">
        <v>1407</v>
      </c>
      <c r="T166" t="s">
        <v>87</v>
      </c>
      <c r="U166">
        <v>46248.568646</v>
      </c>
      <c r="V166">
        <v>46252.584675999999</v>
      </c>
      <c r="Y166" t="s">
        <v>58</v>
      </c>
    </row>
    <row r="167" spans="2:25" x14ac:dyDescent="0.25">
      <c r="B167" t="s">
        <v>1408</v>
      </c>
      <c r="C167" t="s">
        <v>1409</v>
      </c>
      <c r="D167" t="s">
        <v>1410</v>
      </c>
      <c r="E167">
        <v>2024</v>
      </c>
      <c r="F167" t="s">
        <v>29</v>
      </c>
      <c r="H167" t="s">
        <v>1411</v>
      </c>
      <c r="I167" t="s">
        <v>1412</v>
      </c>
      <c r="J167" t="s">
        <v>81</v>
      </c>
      <c r="K167" t="s">
        <v>1413</v>
      </c>
      <c r="L167" t="s">
        <v>1414</v>
      </c>
      <c r="N167" t="s">
        <v>1415</v>
      </c>
      <c r="P167" t="s">
        <v>396</v>
      </c>
      <c r="Q167" t="s">
        <v>1416</v>
      </c>
      <c r="R167" t="s">
        <v>36</v>
      </c>
      <c r="S167" t="s">
        <v>590</v>
      </c>
      <c r="T167" t="s">
        <v>398</v>
      </c>
      <c r="U167">
        <v>46248.568646</v>
      </c>
      <c r="V167">
        <v>46297.602059999997</v>
      </c>
      <c r="Y167" t="s">
        <v>58</v>
      </c>
    </row>
    <row r="168" spans="2:25" x14ac:dyDescent="0.25">
      <c r="B168" t="s">
        <v>1417</v>
      </c>
      <c r="C168" t="s">
        <v>1418</v>
      </c>
      <c r="D168" t="s">
        <v>1419</v>
      </c>
      <c r="E168">
        <v>2025</v>
      </c>
      <c r="F168" t="s">
        <v>29</v>
      </c>
      <c r="G168" t="s">
        <v>1420</v>
      </c>
      <c r="I168" t="s">
        <v>1421</v>
      </c>
      <c r="J168" t="s">
        <v>32</v>
      </c>
      <c r="K168" t="s">
        <v>1422</v>
      </c>
      <c r="L168" t="s">
        <v>1423</v>
      </c>
      <c r="N168" t="s">
        <v>1424</v>
      </c>
      <c r="O168" t="s">
        <v>1425</v>
      </c>
      <c r="P168" t="s">
        <v>1033</v>
      </c>
      <c r="R168" t="s">
        <v>36</v>
      </c>
      <c r="S168" t="s">
        <v>1426</v>
      </c>
      <c r="T168" t="s">
        <v>57</v>
      </c>
      <c r="U168">
        <v>46248.568646</v>
      </c>
      <c r="V168">
        <v>46297.586377</v>
      </c>
      <c r="Y168" t="s">
        <v>58</v>
      </c>
    </row>
    <row r="169" spans="2:25" x14ac:dyDescent="0.25">
      <c r="B169" t="s">
        <v>1427</v>
      </c>
      <c r="C169" t="s">
        <v>1428</v>
      </c>
      <c r="D169" t="s">
        <v>1429</v>
      </c>
      <c r="E169">
        <v>2024</v>
      </c>
      <c r="F169" t="s">
        <v>29</v>
      </c>
      <c r="H169" t="s">
        <v>1199</v>
      </c>
      <c r="I169" t="s">
        <v>1430</v>
      </c>
      <c r="J169" t="s">
        <v>81</v>
      </c>
      <c r="K169" t="s">
        <v>1431</v>
      </c>
      <c r="L169" t="s">
        <v>1432</v>
      </c>
      <c r="N169" t="s">
        <v>1433</v>
      </c>
      <c r="O169" t="s">
        <v>1434</v>
      </c>
      <c r="P169" t="s">
        <v>726</v>
      </c>
      <c r="Q169" t="s">
        <v>1435</v>
      </c>
      <c r="R169" t="s">
        <v>36</v>
      </c>
      <c r="S169" t="s">
        <v>796</v>
      </c>
      <c r="T169" t="s">
        <v>87</v>
      </c>
      <c r="U169">
        <v>46248.568646</v>
      </c>
      <c r="V169">
        <v>46252.789896000002</v>
      </c>
      <c r="Y169" t="s">
        <v>58</v>
      </c>
    </row>
    <row r="170" spans="2:25" x14ac:dyDescent="0.25">
      <c r="B170" t="s">
        <v>1436</v>
      </c>
      <c r="C170" t="s">
        <v>1437</v>
      </c>
      <c r="D170" t="s">
        <v>541</v>
      </c>
      <c r="E170">
        <v>2023</v>
      </c>
      <c r="F170" t="s">
        <v>29</v>
      </c>
      <c r="I170" t="s">
        <v>1438</v>
      </c>
      <c r="J170" t="s">
        <v>32</v>
      </c>
      <c r="K170" t="s">
        <v>1439</v>
      </c>
      <c r="L170" t="s">
        <v>1440</v>
      </c>
      <c r="N170" t="s">
        <v>1441</v>
      </c>
      <c r="O170" t="s">
        <v>1442</v>
      </c>
      <c r="P170" t="s">
        <v>236</v>
      </c>
      <c r="R170" t="s">
        <v>36</v>
      </c>
      <c r="S170" t="s">
        <v>1443</v>
      </c>
      <c r="T170" t="s">
        <v>398</v>
      </c>
      <c r="U170">
        <v>46248.568646</v>
      </c>
      <c r="V170">
        <v>46297.602141000003</v>
      </c>
      <c r="Y170" t="s">
        <v>58</v>
      </c>
    </row>
    <row r="171" spans="2:25" x14ac:dyDescent="0.25">
      <c r="B171" t="s">
        <v>1444</v>
      </c>
      <c r="C171" t="s">
        <v>1445</v>
      </c>
      <c r="D171" t="s">
        <v>1446</v>
      </c>
      <c r="E171">
        <v>2025</v>
      </c>
      <c r="F171" t="s">
        <v>29</v>
      </c>
      <c r="G171" t="s">
        <v>1447</v>
      </c>
      <c r="I171" t="s">
        <v>1448</v>
      </c>
      <c r="J171" t="s">
        <v>32</v>
      </c>
      <c r="K171" t="s">
        <v>1449</v>
      </c>
      <c r="L171" t="s">
        <v>1450</v>
      </c>
      <c r="N171" t="s">
        <v>1451</v>
      </c>
      <c r="O171" t="s">
        <v>1452</v>
      </c>
      <c r="P171" t="s">
        <v>1033</v>
      </c>
      <c r="R171" t="s">
        <v>36</v>
      </c>
      <c r="S171" t="s">
        <v>422</v>
      </c>
      <c r="T171" t="s">
        <v>87</v>
      </c>
      <c r="U171">
        <v>46248.568646</v>
      </c>
      <c r="V171">
        <v>46252.625995000002</v>
      </c>
      <c r="Y171" t="s">
        <v>58</v>
      </c>
    </row>
    <row r="172" spans="2:25" x14ac:dyDescent="0.25">
      <c r="B172" t="s">
        <v>1453</v>
      </c>
      <c r="C172" t="s">
        <v>1454</v>
      </c>
      <c r="D172" t="s">
        <v>1455</v>
      </c>
      <c r="E172">
        <v>2026</v>
      </c>
      <c r="F172" t="s">
        <v>29</v>
      </c>
      <c r="G172" t="s">
        <v>1456</v>
      </c>
      <c r="H172" t="s">
        <v>720</v>
      </c>
      <c r="I172" t="s">
        <v>1457</v>
      </c>
      <c r="J172" t="s">
        <v>81</v>
      </c>
      <c r="K172" t="s">
        <v>1458</v>
      </c>
      <c r="L172" t="s">
        <v>1459</v>
      </c>
      <c r="N172" t="s">
        <v>1460</v>
      </c>
      <c r="P172" t="s">
        <v>1461</v>
      </c>
      <c r="Q172" t="s">
        <v>1462</v>
      </c>
      <c r="R172" t="s">
        <v>36</v>
      </c>
      <c r="S172" t="s">
        <v>282</v>
      </c>
      <c r="T172" t="s">
        <v>48</v>
      </c>
      <c r="U172">
        <v>46248.568646</v>
      </c>
      <c r="V172">
        <v>46297.573888999999</v>
      </c>
      <c r="Y172" t="s">
        <v>49</v>
      </c>
    </row>
    <row r="173" spans="2:25" x14ac:dyDescent="0.25">
      <c r="B173" t="s">
        <v>1463</v>
      </c>
      <c r="C173" t="s">
        <v>1464</v>
      </c>
      <c r="D173" t="s">
        <v>1465</v>
      </c>
      <c r="E173">
        <v>2026</v>
      </c>
      <c r="F173" t="s">
        <v>29</v>
      </c>
      <c r="G173" t="s">
        <v>1466</v>
      </c>
      <c r="I173" t="s">
        <v>1467</v>
      </c>
      <c r="J173" t="s">
        <v>32</v>
      </c>
      <c r="K173" t="s">
        <v>1468</v>
      </c>
      <c r="L173" t="s">
        <v>1469</v>
      </c>
      <c r="N173" t="s">
        <v>1470</v>
      </c>
      <c r="O173" t="s">
        <v>1471</v>
      </c>
      <c r="P173" t="s">
        <v>35</v>
      </c>
      <c r="R173" t="s">
        <v>36</v>
      </c>
      <c r="S173" t="s">
        <v>37</v>
      </c>
      <c r="T173" t="s">
        <v>94</v>
      </c>
      <c r="U173">
        <v>46248.568646</v>
      </c>
      <c r="V173">
        <v>46297.592812000003</v>
      </c>
      <c r="Y173" t="s">
        <v>58</v>
      </c>
    </row>
    <row r="174" spans="2:25" x14ac:dyDescent="0.25">
      <c r="B174" t="s">
        <v>1472</v>
      </c>
      <c r="C174" t="s">
        <v>1473</v>
      </c>
      <c r="D174" t="s">
        <v>401</v>
      </c>
      <c r="E174">
        <v>2025</v>
      </c>
      <c r="F174" t="s">
        <v>29</v>
      </c>
      <c r="G174" t="s">
        <v>1474</v>
      </c>
      <c r="H174" t="s">
        <v>1475</v>
      </c>
      <c r="I174" t="s">
        <v>1476</v>
      </c>
      <c r="J174" t="s">
        <v>32</v>
      </c>
      <c r="K174" t="s">
        <v>1477</v>
      </c>
      <c r="L174" t="s">
        <v>1478</v>
      </c>
      <c r="N174" t="s">
        <v>1479</v>
      </c>
      <c r="O174" t="s">
        <v>1480</v>
      </c>
      <c r="P174" t="s">
        <v>259</v>
      </c>
      <c r="Q174" t="s">
        <v>409</v>
      </c>
      <c r="R174" t="s">
        <v>36</v>
      </c>
      <c r="S174" t="s">
        <v>1481</v>
      </c>
      <c r="T174" t="s">
        <v>48</v>
      </c>
      <c r="U174">
        <v>46248.568646</v>
      </c>
      <c r="V174">
        <v>46297.581041999998</v>
      </c>
      <c r="Y174" t="s">
        <v>49</v>
      </c>
    </row>
    <row r="175" spans="2:25" x14ac:dyDescent="0.25">
      <c r="B175" t="s">
        <v>1482</v>
      </c>
      <c r="C175" t="s">
        <v>1483</v>
      </c>
      <c r="D175" t="s">
        <v>207</v>
      </c>
      <c r="E175">
        <v>2025</v>
      </c>
      <c r="F175" t="s">
        <v>29</v>
      </c>
      <c r="G175" t="s">
        <v>1484</v>
      </c>
      <c r="H175" t="s">
        <v>1172</v>
      </c>
      <c r="I175" t="s">
        <v>1485</v>
      </c>
      <c r="J175" t="s">
        <v>81</v>
      </c>
      <c r="K175" t="s">
        <v>1486</v>
      </c>
      <c r="L175" t="s">
        <v>1487</v>
      </c>
      <c r="N175" t="s">
        <v>1488</v>
      </c>
      <c r="P175" t="s">
        <v>214</v>
      </c>
      <c r="Q175" t="s">
        <v>215</v>
      </c>
      <c r="R175" t="s">
        <v>36</v>
      </c>
      <c r="S175" t="s">
        <v>248</v>
      </c>
      <c r="T175" t="s">
        <v>94</v>
      </c>
      <c r="U175">
        <v>46248.568646</v>
      </c>
      <c r="V175">
        <v>46297.593483999997</v>
      </c>
      <c r="Y175" t="s">
        <v>58</v>
      </c>
    </row>
    <row r="176" spans="2:25" x14ac:dyDescent="0.25">
      <c r="B176" t="s">
        <v>1489</v>
      </c>
      <c r="C176" t="s">
        <v>1490</v>
      </c>
      <c r="D176" t="s">
        <v>1491</v>
      </c>
      <c r="E176">
        <v>2023</v>
      </c>
      <c r="F176" t="s">
        <v>29</v>
      </c>
      <c r="H176" t="s">
        <v>1162</v>
      </c>
      <c r="I176" t="s">
        <v>1492</v>
      </c>
      <c r="J176" t="s">
        <v>81</v>
      </c>
      <c r="K176" t="s">
        <v>1493</v>
      </c>
      <c r="L176" t="s">
        <v>1494</v>
      </c>
      <c r="N176" t="s">
        <v>1495</v>
      </c>
      <c r="O176" t="s">
        <v>1496</v>
      </c>
      <c r="P176" t="s">
        <v>726</v>
      </c>
      <c r="Q176" t="s">
        <v>1497</v>
      </c>
      <c r="R176" t="s">
        <v>36</v>
      </c>
      <c r="S176" t="s">
        <v>737</v>
      </c>
      <c r="T176" t="s">
        <v>48</v>
      </c>
      <c r="U176">
        <v>46248.568646</v>
      </c>
      <c r="V176">
        <v>46297.573923999997</v>
      </c>
      <c r="Y176" t="s">
        <v>49</v>
      </c>
    </row>
    <row r="177" spans="2:25" x14ac:dyDescent="0.25">
      <c r="B177" t="s">
        <v>1498</v>
      </c>
      <c r="C177" t="s">
        <v>1499</v>
      </c>
      <c r="D177" t="s">
        <v>462</v>
      </c>
      <c r="E177">
        <v>2026</v>
      </c>
      <c r="F177" t="s">
        <v>29</v>
      </c>
      <c r="G177" t="s">
        <v>1500</v>
      </c>
      <c r="H177" t="s">
        <v>1501</v>
      </c>
      <c r="I177" t="s">
        <v>1502</v>
      </c>
      <c r="J177" t="s">
        <v>32</v>
      </c>
      <c r="K177" t="s">
        <v>1503</v>
      </c>
      <c r="L177" t="s">
        <v>1504</v>
      </c>
      <c r="O177" t="s">
        <v>1505</v>
      </c>
      <c r="P177" t="s">
        <v>259</v>
      </c>
      <c r="Q177" t="s">
        <v>470</v>
      </c>
      <c r="R177" t="s">
        <v>36</v>
      </c>
      <c r="S177" t="s">
        <v>37</v>
      </c>
      <c r="T177" t="s">
        <v>94</v>
      </c>
      <c r="U177">
        <v>46248.568646</v>
      </c>
      <c r="V177">
        <v>46297.593519000002</v>
      </c>
      <c r="Y177" t="s">
        <v>58</v>
      </c>
    </row>
    <row r="178" spans="2:25" x14ac:dyDescent="0.25">
      <c r="B178" t="s">
        <v>1506</v>
      </c>
      <c r="C178" t="s">
        <v>1507</v>
      </c>
      <c r="D178" t="s">
        <v>541</v>
      </c>
      <c r="E178">
        <v>2024</v>
      </c>
      <c r="F178" t="s">
        <v>29</v>
      </c>
      <c r="G178" t="s">
        <v>1508</v>
      </c>
      <c r="I178" t="s">
        <v>1509</v>
      </c>
      <c r="J178" t="s">
        <v>32</v>
      </c>
      <c r="K178" t="s">
        <v>1510</v>
      </c>
      <c r="L178" t="s">
        <v>1511</v>
      </c>
      <c r="N178" t="s">
        <v>1512</v>
      </c>
      <c r="O178" t="s">
        <v>1513</v>
      </c>
      <c r="P178" t="s">
        <v>236</v>
      </c>
      <c r="R178" t="s">
        <v>36</v>
      </c>
      <c r="S178" t="s">
        <v>538</v>
      </c>
      <c r="T178" t="s">
        <v>48</v>
      </c>
      <c r="U178">
        <v>46248.568646</v>
      </c>
      <c r="V178">
        <v>46297.573992999998</v>
      </c>
      <c r="Y178" t="s">
        <v>49</v>
      </c>
    </row>
    <row r="179" spans="2:25" x14ac:dyDescent="0.25">
      <c r="B179" t="s">
        <v>1514</v>
      </c>
      <c r="C179" t="s">
        <v>1515</v>
      </c>
      <c r="D179" t="s">
        <v>1516</v>
      </c>
      <c r="E179">
        <v>2026</v>
      </c>
      <c r="F179" t="s">
        <v>29</v>
      </c>
      <c r="G179" t="s">
        <v>1517</v>
      </c>
      <c r="H179" t="s">
        <v>414</v>
      </c>
      <c r="I179" t="s">
        <v>1518</v>
      </c>
      <c r="J179" t="s">
        <v>81</v>
      </c>
      <c r="K179" t="s">
        <v>1519</v>
      </c>
      <c r="L179" t="s">
        <v>1520</v>
      </c>
      <c r="N179" t="s">
        <v>1521</v>
      </c>
      <c r="P179" t="s">
        <v>1522</v>
      </c>
      <c r="Q179" t="s">
        <v>1523</v>
      </c>
      <c r="R179" t="s">
        <v>36</v>
      </c>
      <c r="S179" t="s">
        <v>422</v>
      </c>
      <c r="T179" t="s">
        <v>48</v>
      </c>
      <c r="U179">
        <v>46248.568646</v>
      </c>
      <c r="V179">
        <v>46297.573958000001</v>
      </c>
      <c r="Y179" t="s">
        <v>49</v>
      </c>
    </row>
    <row r="180" spans="2:25" x14ac:dyDescent="0.25">
      <c r="B180" t="s">
        <v>1524</v>
      </c>
      <c r="C180" t="s">
        <v>1525</v>
      </c>
      <c r="D180" t="s">
        <v>873</v>
      </c>
      <c r="E180">
        <v>2025</v>
      </c>
      <c r="F180" t="s">
        <v>29</v>
      </c>
      <c r="G180" t="s">
        <v>1526</v>
      </c>
      <c r="H180" t="s">
        <v>99</v>
      </c>
      <c r="I180" t="s">
        <v>1527</v>
      </c>
      <c r="J180" t="s">
        <v>81</v>
      </c>
      <c r="K180" t="s">
        <v>1528</v>
      </c>
      <c r="L180" t="s">
        <v>1529</v>
      </c>
      <c r="N180" t="s">
        <v>1530</v>
      </c>
      <c r="P180" t="s">
        <v>879</v>
      </c>
      <c r="Q180" t="s">
        <v>880</v>
      </c>
      <c r="R180" t="s">
        <v>36</v>
      </c>
      <c r="S180" t="s">
        <v>590</v>
      </c>
      <c r="T180" t="s">
        <v>87</v>
      </c>
      <c r="U180">
        <v>46248.568646</v>
      </c>
      <c r="V180">
        <v>46252.579212999997</v>
      </c>
      <c r="Y180" t="s">
        <v>58</v>
      </c>
    </row>
    <row r="181" spans="2:25" x14ac:dyDescent="0.25">
      <c r="B181" t="s">
        <v>1531</v>
      </c>
      <c r="C181" t="s">
        <v>1532</v>
      </c>
      <c r="D181" t="s">
        <v>1102</v>
      </c>
      <c r="E181">
        <v>2025</v>
      </c>
      <c r="F181" t="s">
        <v>29</v>
      </c>
      <c r="H181" t="s">
        <v>1411</v>
      </c>
      <c r="I181" t="s">
        <v>1533</v>
      </c>
      <c r="J181" t="s">
        <v>81</v>
      </c>
      <c r="K181" t="s">
        <v>1534</v>
      </c>
      <c r="L181" t="s">
        <v>1535</v>
      </c>
      <c r="N181" t="s">
        <v>1536</v>
      </c>
      <c r="O181" t="s">
        <v>1537</v>
      </c>
      <c r="P181" t="s">
        <v>1108</v>
      </c>
      <c r="Q181" t="s">
        <v>1109</v>
      </c>
      <c r="R181" t="s">
        <v>36</v>
      </c>
      <c r="S181" t="s">
        <v>1277</v>
      </c>
      <c r="T181" t="s">
        <v>94</v>
      </c>
      <c r="U181">
        <v>46248.568646</v>
      </c>
      <c r="V181">
        <v>46297.593588000003</v>
      </c>
      <c r="Y181" t="s">
        <v>58</v>
      </c>
    </row>
    <row r="182" spans="2:25" x14ac:dyDescent="0.25">
      <c r="B182" t="s">
        <v>1538</v>
      </c>
      <c r="C182" t="s">
        <v>1539</v>
      </c>
      <c r="D182" t="s">
        <v>1149</v>
      </c>
      <c r="E182">
        <v>2025</v>
      </c>
      <c r="F182" t="s">
        <v>29</v>
      </c>
      <c r="G182" t="s">
        <v>1540</v>
      </c>
      <c r="H182" t="s">
        <v>1151</v>
      </c>
      <c r="I182" t="s">
        <v>1541</v>
      </c>
      <c r="J182" t="s">
        <v>81</v>
      </c>
      <c r="K182" t="s">
        <v>1542</v>
      </c>
      <c r="L182" t="s">
        <v>1543</v>
      </c>
      <c r="N182" t="s">
        <v>1544</v>
      </c>
      <c r="O182" t="s">
        <v>1545</v>
      </c>
      <c r="P182" t="s">
        <v>280</v>
      </c>
      <c r="Q182" t="s">
        <v>1157</v>
      </c>
      <c r="R182" t="s">
        <v>36</v>
      </c>
      <c r="S182" t="s">
        <v>1546</v>
      </c>
      <c r="T182" t="s">
        <v>57</v>
      </c>
      <c r="U182">
        <v>46248.568646</v>
      </c>
      <c r="V182">
        <v>46297.586551</v>
      </c>
      <c r="Y182" t="s">
        <v>58</v>
      </c>
    </row>
    <row r="183" spans="2:25" x14ac:dyDescent="0.25">
      <c r="B183" t="s">
        <v>1547</v>
      </c>
      <c r="C183" t="s">
        <v>1548</v>
      </c>
      <c r="D183" t="s">
        <v>1549</v>
      </c>
      <c r="E183">
        <v>2023</v>
      </c>
      <c r="F183" t="s">
        <v>29</v>
      </c>
      <c r="G183" t="s">
        <v>1550</v>
      </c>
      <c r="H183" t="s">
        <v>209</v>
      </c>
      <c r="I183" t="s">
        <v>1551</v>
      </c>
      <c r="J183" t="s">
        <v>81</v>
      </c>
      <c r="K183" t="s">
        <v>1552</v>
      </c>
      <c r="L183" t="s">
        <v>1553</v>
      </c>
      <c r="N183" t="s">
        <v>1554</v>
      </c>
      <c r="O183" t="s">
        <v>1555</v>
      </c>
      <c r="P183" t="s">
        <v>35</v>
      </c>
      <c r="Q183" t="s">
        <v>1556</v>
      </c>
      <c r="R183" t="s">
        <v>36</v>
      </c>
      <c r="S183" t="s">
        <v>1557</v>
      </c>
      <c r="T183" t="s">
        <v>87</v>
      </c>
      <c r="U183">
        <v>46248.568634000003</v>
      </c>
      <c r="V183">
        <v>46252.795531999996</v>
      </c>
      <c r="Y183" t="s">
        <v>58</v>
      </c>
    </row>
    <row r="184" spans="2:25" x14ac:dyDescent="0.25">
      <c r="B184" t="s">
        <v>1558</v>
      </c>
      <c r="C184" t="s">
        <v>1559</v>
      </c>
      <c r="D184" t="s">
        <v>1560</v>
      </c>
      <c r="E184">
        <v>2026</v>
      </c>
      <c r="F184" t="s">
        <v>29</v>
      </c>
      <c r="I184" t="s">
        <v>1561</v>
      </c>
      <c r="J184" t="s">
        <v>81</v>
      </c>
      <c r="K184" t="s">
        <v>1562</v>
      </c>
      <c r="L184" t="s">
        <v>1563</v>
      </c>
      <c r="N184" t="s">
        <v>1564</v>
      </c>
      <c r="P184" t="s">
        <v>1565</v>
      </c>
      <c r="Q184" t="s">
        <v>1566</v>
      </c>
      <c r="R184" t="s">
        <v>36</v>
      </c>
      <c r="S184" t="s">
        <v>37</v>
      </c>
      <c r="T184" t="s">
        <v>87</v>
      </c>
      <c r="U184">
        <v>46248.568634000003</v>
      </c>
      <c r="V184">
        <v>46252.636910000001</v>
      </c>
      <c r="Y184" t="s">
        <v>58</v>
      </c>
    </row>
    <row r="185" spans="2:25" x14ac:dyDescent="0.25">
      <c r="B185" t="s">
        <v>1567</v>
      </c>
      <c r="C185" t="s">
        <v>1568</v>
      </c>
      <c r="D185" t="s">
        <v>1569</v>
      </c>
      <c r="E185">
        <v>2025</v>
      </c>
      <c r="F185" t="s">
        <v>29</v>
      </c>
      <c r="I185" t="s">
        <v>1570</v>
      </c>
      <c r="J185" t="s">
        <v>32</v>
      </c>
      <c r="K185" t="s">
        <v>1571</v>
      </c>
      <c r="L185" t="s">
        <v>1572</v>
      </c>
      <c r="N185" t="s">
        <v>1573</v>
      </c>
      <c r="O185" t="s">
        <v>1574</v>
      </c>
      <c r="P185" t="s">
        <v>35</v>
      </c>
      <c r="R185" t="s">
        <v>36</v>
      </c>
      <c r="S185" t="s">
        <v>261</v>
      </c>
      <c r="T185" t="s">
        <v>94</v>
      </c>
      <c r="U185">
        <v>46248.568634000003</v>
      </c>
      <c r="V185">
        <v>46297.593669000002</v>
      </c>
      <c r="Y185" t="s">
        <v>58</v>
      </c>
    </row>
    <row r="186" spans="2:25" x14ac:dyDescent="0.25">
      <c r="B186" t="s">
        <v>1575</v>
      </c>
      <c r="C186" t="s">
        <v>1576</v>
      </c>
      <c r="D186" t="s">
        <v>462</v>
      </c>
      <c r="E186">
        <v>2025</v>
      </c>
      <c r="F186" t="s">
        <v>29</v>
      </c>
      <c r="G186" t="s">
        <v>1577</v>
      </c>
      <c r="H186" t="s">
        <v>1578</v>
      </c>
      <c r="I186" t="s">
        <v>1579</v>
      </c>
      <c r="J186" t="s">
        <v>32</v>
      </c>
      <c r="K186" t="s">
        <v>1580</v>
      </c>
      <c r="L186" t="s">
        <v>1581</v>
      </c>
      <c r="N186" t="s">
        <v>1582</v>
      </c>
      <c r="O186" t="s">
        <v>1583</v>
      </c>
      <c r="P186" t="s">
        <v>259</v>
      </c>
      <c r="Q186" t="s">
        <v>470</v>
      </c>
      <c r="R186" t="s">
        <v>36</v>
      </c>
      <c r="S186" t="s">
        <v>37</v>
      </c>
      <c r="T186" t="s">
        <v>48</v>
      </c>
      <c r="U186">
        <v>46248.568646</v>
      </c>
      <c r="V186">
        <v>46297.581181000001</v>
      </c>
      <c r="Y186" t="s">
        <v>49</v>
      </c>
    </row>
    <row r="187" spans="2:25" x14ac:dyDescent="0.25">
      <c r="B187" t="s">
        <v>1584</v>
      </c>
      <c r="C187" t="s">
        <v>1585</v>
      </c>
      <c r="D187" t="s">
        <v>1586</v>
      </c>
      <c r="E187">
        <v>2025</v>
      </c>
      <c r="F187" t="s">
        <v>29</v>
      </c>
      <c r="H187" t="s">
        <v>1271</v>
      </c>
      <c r="I187" t="s">
        <v>1587</v>
      </c>
      <c r="J187" t="s">
        <v>81</v>
      </c>
      <c r="K187" t="s">
        <v>1588</v>
      </c>
      <c r="L187" t="s">
        <v>1589</v>
      </c>
      <c r="N187" t="s">
        <v>1590</v>
      </c>
      <c r="O187" t="s">
        <v>1591</v>
      </c>
      <c r="P187" t="s">
        <v>225</v>
      </c>
      <c r="Q187" t="s">
        <v>1592</v>
      </c>
      <c r="R187" t="s">
        <v>36</v>
      </c>
      <c r="S187" t="s">
        <v>1443</v>
      </c>
      <c r="T187" t="s">
        <v>94</v>
      </c>
      <c r="U187">
        <v>46248.568634000003</v>
      </c>
      <c r="V187">
        <v>46297.593773000001</v>
      </c>
      <c r="Y187" t="s">
        <v>58</v>
      </c>
    </row>
    <row r="188" spans="2:25" x14ac:dyDescent="0.25">
      <c r="B188" t="s">
        <v>1593</v>
      </c>
      <c r="C188" t="s">
        <v>1594</v>
      </c>
      <c r="D188" t="s">
        <v>1595</v>
      </c>
      <c r="E188">
        <v>2026</v>
      </c>
      <c r="F188" t="s">
        <v>29</v>
      </c>
      <c r="G188" t="s">
        <v>1596</v>
      </c>
      <c r="H188" t="s">
        <v>1597</v>
      </c>
      <c r="I188" t="s">
        <v>1598</v>
      </c>
      <c r="J188" t="s">
        <v>81</v>
      </c>
      <c r="K188" t="s">
        <v>1599</v>
      </c>
      <c r="L188" t="s">
        <v>1600</v>
      </c>
      <c r="N188" t="s">
        <v>1601</v>
      </c>
      <c r="O188" t="s">
        <v>1602</v>
      </c>
      <c r="P188" t="s">
        <v>1603</v>
      </c>
      <c r="Q188" t="s">
        <v>1604</v>
      </c>
      <c r="R188" t="s">
        <v>36</v>
      </c>
      <c r="S188" t="s">
        <v>261</v>
      </c>
      <c r="T188" t="s">
        <v>57</v>
      </c>
      <c r="U188">
        <v>46248.568634000003</v>
      </c>
      <c r="V188">
        <v>46297.586701</v>
      </c>
      <c r="Y188" t="s">
        <v>58</v>
      </c>
    </row>
    <row r="189" spans="2:25" x14ac:dyDescent="0.25">
      <c r="B189" t="s">
        <v>1605</v>
      </c>
      <c r="C189" t="s">
        <v>1606</v>
      </c>
      <c r="D189" t="s">
        <v>678</v>
      </c>
      <c r="E189">
        <v>2025</v>
      </c>
      <c r="F189" t="s">
        <v>29</v>
      </c>
      <c r="H189" t="s">
        <v>1172</v>
      </c>
      <c r="I189" t="s">
        <v>1607</v>
      </c>
      <c r="J189" t="s">
        <v>81</v>
      </c>
      <c r="K189" t="s">
        <v>1608</v>
      </c>
      <c r="L189" t="s">
        <v>1609</v>
      </c>
      <c r="N189" t="s">
        <v>1610</v>
      </c>
      <c r="O189" t="s">
        <v>1611</v>
      </c>
      <c r="P189" t="s">
        <v>225</v>
      </c>
      <c r="Q189" t="s">
        <v>684</v>
      </c>
      <c r="R189" t="s">
        <v>36</v>
      </c>
      <c r="S189" t="s">
        <v>590</v>
      </c>
      <c r="T189" t="s">
        <v>87</v>
      </c>
      <c r="U189">
        <v>46248.568634000003</v>
      </c>
      <c r="V189">
        <v>46252.643380000001</v>
      </c>
      <c r="Y189" t="s">
        <v>58</v>
      </c>
    </row>
    <row r="190" spans="2:25" x14ac:dyDescent="0.25">
      <c r="B190" t="s">
        <v>1612</v>
      </c>
      <c r="C190" t="s">
        <v>1613</v>
      </c>
      <c r="D190" t="s">
        <v>1307</v>
      </c>
      <c r="E190">
        <v>2024</v>
      </c>
      <c r="F190" t="s">
        <v>29</v>
      </c>
      <c r="H190" t="s">
        <v>1614</v>
      </c>
      <c r="I190" t="s">
        <v>1615</v>
      </c>
      <c r="J190" t="s">
        <v>81</v>
      </c>
      <c r="K190" t="s">
        <v>1616</v>
      </c>
      <c r="L190" t="s">
        <v>1617</v>
      </c>
      <c r="N190" t="s">
        <v>1618</v>
      </c>
      <c r="O190" t="s">
        <v>1619</v>
      </c>
      <c r="P190" t="s">
        <v>225</v>
      </c>
      <c r="Q190" t="s">
        <v>1313</v>
      </c>
      <c r="R190" t="s">
        <v>36</v>
      </c>
      <c r="S190" t="s">
        <v>1137</v>
      </c>
      <c r="T190" t="s">
        <v>398</v>
      </c>
      <c r="U190">
        <v>46248.568634000003</v>
      </c>
      <c r="V190">
        <v>46297.602326</v>
      </c>
      <c r="Y190" t="s">
        <v>58</v>
      </c>
    </row>
    <row r="191" spans="2:25" x14ac:dyDescent="0.25">
      <c r="B191" t="s">
        <v>1620</v>
      </c>
      <c r="C191" t="s">
        <v>1621</v>
      </c>
      <c r="D191" t="s">
        <v>1622</v>
      </c>
      <c r="E191">
        <v>2025</v>
      </c>
      <c r="F191" t="s">
        <v>29</v>
      </c>
      <c r="H191" t="s">
        <v>1623</v>
      </c>
      <c r="I191" t="s">
        <v>1624</v>
      </c>
      <c r="J191" t="s">
        <v>32</v>
      </c>
      <c r="L191" t="s">
        <v>1625</v>
      </c>
      <c r="N191" t="s">
        <v>1626</v>
      </c>
      <c r="P191" t="s">
        <v>1627</v>
      </c>
      <c r="Q191" t="s">
        <v>1628</v>
      </c>
      <c r="R191" t="s">
        <v>36</v>
      </c>
      <c r="S191" t="s">
        <v>261</v>
      </c>
      <c r="T191" t="s">
        <v>398</v>
      </c>
      <c r="U191">
        <v>46248.568634000003</v>
      </c>
      <c r="V191">
        <v>46297.602292000003</v>
      </c>
      <c r="Y191" t="s">
        <v>58</v>
      </c>
    </row>
    <row r="192" spans="2:25" x14ac:dyDescent="0.25">
      <c r="B192" t="s">
        <v>1629</v>
      </c>
      <c r="C192" t="s">
        <v>1630</v>
      </c>
      <c r="D192" t="s">
        <v>337</v>
      </c>
      <c r="E192">
        <v>2024</v>
      </c>
      <c r="F192" t="s">
        <v>29</v>
      </c>
      <c r="G192" t="s">
        <v>1631</v>
      </c>
      <c r="I192" t="s">
        <v>1632</v>
      </c>
      <c r="J192" t="s">
        <v>32</v>
      </c>
      <c r="K192" t="s">
        <v>1633</v>
      </c>
      <c r="L192" t="s">
        <v>1634</v>
      </c>
      <c r="N192" t="s">
        <v>1635</v>
      </c>
      <c r="O192" t="s">
        <v>1636</v>
      </c>
      <c r="P192" t="s">
        <v>35</v>
      </c>
      <c r="R192" t="s">
        <v>36</v>
      </c>
      <c r="S192" t="s">
        <v>538</v>
      </c>
      <c r="T192" t="s">
        <v>94</v>
      </c>
      <c r="U192">
        <v>46248.568634000003</v>
      </c>
      <c r="V192">
        <v>46297.593866000003</v>
      </c>
      <c r="Y192" t="s">
        <v>58</v>
      </c>
    </row>
    <row r="193" spans="2:25" x14ac:dyDescent="0.25">
      <c r="B193" t="s">
        <v>1637</v>
      </c>
      <c r="C193" t="s">
        <v>1638</v>
      </c>
      <c r="D193" t="s">
        <v>1639</v>
      </c>
      <c r="E193">
        <v>2024</v>
      </c>
      <c r="F193" t="s">
        <v>29</v>
      </c>
      <c r="G193" t="s">
        <v>1640</v>
      </c>
      <c r="H193" t="s">
        <v>1641</v>
      </c>
      <c r="I193" t="s">
        <v>1642</v>
      </c>
      <c r="J193" t="s">
        <v>32</v>
      </c>
      <c r="K193" t="s">
        <v>1643</v>
      </c>
      <c r="L193" t="s">
        <v>1644</v>
      </c>
      <c r="O193" t="s">
        <v>1645</v>
      </c>
      <c r="P193" t="s">
        <v>1646</v>
      </c>
      <c r="R193" t="s">
        <v>36</v>
      </c>
      <c r="S193" t="s">
        <v>660</v>
      </c>
      <c r="T193" t="s">
        <v>87</v>
      </c>
      <c r="U193">
        <v>46248.568634000003</v>
      </c>
      <c r="V193">
        <v>46252.644259000001</v>
      </c>
      <c r="Y193" t="s">
        <v>58</v>
      </c>
    </row>
    <row r="194" spans="2:25" x14ac:dyDescent="0.25">
      <c r="B194" t="s">
        <v>1647</v>
      </c>
      <c r="C194" t="s">
        <v>1648</v>
      </c>
      <c r="D194" t="s">
        <v>251</v>
      </c>
      <c r="E194">
        <v>2025</v>
      </c>
      <c r="F194" t="s">
        <v>29</v>
      </c>
      <c r="G194" t="s">
        <v>1649</v>
      </c>
      <c r="H194" t="s">
        <v>1650</v>
      </c>
      <c r="I194" t="s">
        <v>1651</v>
      </c>
      <c r="J194" t="s">
        <v>32</v>
      </c>
      <c r="K194" t="s">
        <v>1652</v>
      </c>
      <c r="L194" t="s">
        <v>1653</v>
      </c>
      <c r="N194" t="s">
        <v>1654</v>
      </c>
      <c r="O194" t="s">
        <v>1655</v>
      </c>
      <c r="P194" t="s">
        <v>259</v>
      </c>
      <c r="Q194" t="s">
        <v>260</v>
      </c>
      <c r="R194" t="s">
        <v>36</v>
      </c>
      <c r="S194" t="s">
        <v>1656</v>
      </c>
      <c r="T194" t="s">
        <v>48</v>
      </c>
      <c r="U194">
        <v>46248.568634000003</v>
      </c>
      <c r="V194">
        <v>46297.582303000003</v>
      </c>
      <c r="Y194" t="s">
        <v>49</v>
      </c>
    </row>
    <row r="195" spans="2:25" x14ac:dyDescent="0.25">
      <c r="B195" t="s">
        <v>1657</v>
      </c>
      <c r="C195" t="s">
        <v>1658</v>
      </c>
      <c r="D195" t="s">
        <v>1659</v>
      </c>
      <c r="E195">
        <v>2023</v>
      </c>
      <c r="F195" t="s">
        <v>29</v>
      </c>
      <c r="H195" t="s">
        <v>1660</v>
      </c>
      <c r="I195" t="s">
        <v>1661</v>
      </c>
      <c r="J195" t="s">
        <v>81</v>
      </c>
      <c r="K195" t="s">
        <v>1662</v>
      </c>
      <c r="L195" t="s">
        <v>1663</v>
      </c>
      <c r="N195" t="s">
        <v>1664</v>
      </c>
      <c r="O195" t="s">
        <v>1665</v>
      </c>
      <c r="P195" t="s">
        <v>120</v>
      </c>
      <c r="Q195" t="s">
        <v>1666</v>
      </c>
      <c r="R195" t="s">
        <v>36</v>
      </c>
      <c r="S195" t="s">
        <v>1667</v>
      </c>
      <c r="T195" t="s">
        <v>87</v>
      </c>
      <c r="U195">
        <v>46248.568634000003</v>
      </c>
      <c r="V195">
        <v>46252.646019</v>
      </c>
      <c r="Y195" t="s">
        <v>58</v>
      </c>
    </row>
    <row r="196" spans="2:25" x14ac:dyDescent="0.25">
      <c r="B196" t="s">
        <v>1668</v>
      </c>
      <c r="C196" t="s">
        <v>1669</v>
      </c>
      <c r="D196" t="s">
        <v>1149</v>
      </c>
      <c r="E196">
        <v>2022</v>
      </c>
      <c r="F196" t="s">
        <v>29</v>
      </c>
      <c r="G196" t="s">
        <v>1670</v>
      </c>
      <c r="H196" t="s">
        <v>54</v>
      </c>
      <c r="I196" t="s">
        <v>1671</v>
      </c>
      <c r="J196" t="s">
        <v>81</v>
      </c>
      <c r="K196" t="s">
        <v>1672</v>
      </c>
      <c r="L196" t="s">
        <v>1673</v>
      </c>
      <c r="N196" t="s">
        <v>1674</v>
      </c>
      <c r="O196" t="s">
        <v>1675</v>
      </c>
      <c r="P196" t="s">
        <v>280</v>
      </c>
      <c r="Q196" t="s">
        <v>1157</v>
      </c>
      <c r="R196" t="s">
        <v>36</v>
      </c>
      <c r="S196" t="s">
        <v>1676</v>
      </c>
      <c r="T196" t="s">
        <v>87</v>
      </c>
      <c r="U196">
        <v>46248.568634000003</v>
      </c>
      <c r="V196">
        <v>46252.645706000003</v>
      </c>
      <c r="Y196" t="s">
        <v>58</v>
      </c>
    </row>
    <row r="197" spans="2:25" x14ac:dyDescent="0.25">
      <c r="B197" t="s">
        <v>1677</v>
      </c>
      <c r="C197" t="s">
        <v>1678</v>
      </c>
      <c r="D197" t="s">
        <v>1679</v>
      </c>
      <c r="E197">
        <v>2025</v>
      </c>
      <c r="F197" t="s">
        <v>29</v>
      </c>
      <c r="I197" t="s">
        <v>1680</v>
      </c>
      <c r="J197" t="s">
        <v>32</v>
      </c>
      <c r="K197" t="s">
        <v>1681</v>
      </c>
      <c r="L197" t="s">
        <v>1682</v>
      </c>
      <c r="N197" t="s">
        <v>1683</v>
      </c>
      <c r="O197" t="s">
        <v>1684</v>
      </c>
      <c r="P197" t="s">
        <v>35</v>
      </c>
      <c r="R197" t="s">
        <v>36</v>
      </c>
      <c r="S197" t="s">
        <v>1685</v>
      </c>
      <c r="T197" t="s">
        <v>87</v>
      </c>
      <c r="U197">
        <v>46248.568634000003</v>
      </c>
      <c r="V197">
        <v>46252.644780000002</v>
      </c>
      <c r="Y197" t="s">
        <v>58</v>
      </c>
    </row>
    <row r="198" spans="2:25" x14ac:dyDescent="0.25">
      <c r="B198" t="s">
        <v>1686</v>
      </c>
      <c r="C198" t="s">
        <v>1687</v>
      </c>
      <c r="D198" t="s">
        <v>1688</v>
      </c>
      <c r="E198">
        <v>2025</v>
      </c>
      <c r="F198" t="s">
        <v>29</v>
      </c>
      <c r="G198" t="s">
        <v>1689</v>
      </c>
      <c r="H198" t="s">
        <v>1690</v>
      </c>
      <c r="I198" t="s">
        <v>1691</v>
      </c>
      <c r="J198" t="s">
        <v>32</v>
      </c>
      <c r="L198" t="s">
        <v>1692</v>
      </c>
      <c r="N198" t="s">
        <v>1693</v>
      </c>
      <c r="O198" t="s">
        <v>1694</v>
      </c>
      <c r="P198" t="s">
        <v>1695</v>
      </c>
      <c r="Q198" t="s">
        <v>1696</v>
      </c>
      <c r="R198" t="s">
        <v>36</v>
      </c>
      <c r="S198" t="s">
        <v>37</v>
      </c>
      <c r="T198" t="s">
        <v>94</v>
      </c>
      <c r="U198">
        <v>46248.568634000003</v>
      </c>
      <c r="V198">
        <v>46297.593993000002</v>
      </c>
      <c r="Y198" t="s">
        <v>58</v>
      </c>
    </row>
    <row r="199" spans="2:25" x14ac:dyDescent="0.25">
      <c r="B199" t="s">
        <v>1697</v>
      </c>
      <c r="C199" t="s">
        <v>1698</v>
      </c>
      <c r="D199" t="s">
        <v>593</v>
      </c>
      <c r="E199">
        <v>2024</v>
      </c>
      <c r="F199" t="s">
        <v>29</v>
      </c>
      <c r="G199" t="s">
        <v>1699</v>
      </c>
      <c r="H199" t="s">
        <v>1700</v>
      </c>
      <c r="I199" t="s">
        <v>1701</v>
      </c>
      <c r="J199" t="s">
        <v>32</v>
      </c>
      <c r="K199" t="s">
        <v>1702</v>
      </c>
      <c r="L199" t="s">
        <v>1703</v>
      </c>
      <c r="N199" t="s">
        <v>1704</v>
      </c>
      <c r="O199" t="s">
        <v>1705</v>
      </c>
      <c r="P199" t="s">
        <v>259</v>
      </c>
      <c r="Q199" t="s">
        <v>260</v>
      </c>
      <c r="R199" t="s">
        <v>36</v>
      </c>
      <c r="S199" t="s">
        <v>261</v>
      </c>
      <c r="T199" t="s">
        <v>94</v>
      </c>
      <c r="U199">
        <v>46248.568634000003</v>
      </c>
      <c r="V199">
        <v>46297.594051</v>
      </c>
      <c r="Y199" t="s">
        <v>58</v>
      </c>
    </row>
    <row r="200" spans="2:25" x14ac:dyDescent="0.25">
      <c r="B200" t="s">
        <v>1706</v>
      </c>
      <c r="C200" t="s">
        <v>1707</v>
      </c>
      <c r="D200" t="s">
        <v>317</v>
      </c>
      <c r="E200">
        <v>2024</v>
      </c>
      <c r="F200" t="s">
        <v>29</v>
      </c>
      <c r="H200" t="s">
        <v>1271</v>
      </c>
      <c r="I200" t="s">
        <v>1708</v>
      </c>
      <c r="J200" t="s">
        <v>81</v>
      </c>
      <c r="K200" t="s">
        <v>1709</v>
      </c>
      <c r="L200" t="s">
        <v>1710</v>
      </c>
      <c r="N200" t="s">
        <v>1711</v>
      </c>
      <c r="O200" t="s">
        <v>1712</v>
      </c>
      <c r="P200" t="s">
        <v>324</v>
      </c>
      <c r="Q200" t="s">
        <v>325</v>
      </c>
      <c r="R200" t="s">
        <v>36</v>
      </c>
      <c r="S200" t="s">
        <v>1713</v>
      </c>
      <c r="T200" t="s">
        <v>48</v>
      </c>
      <c r="U200">
        <v>46248.568634000003</v>
      </c>
      <c r="V200">
        <v>46297.574028000003</v>
      </c>
      <c r="Y200" t="s">
        <v>49</v>
      </c>
    </row>
    <row r="201" spans="2:25" x14ac:dyDescent="0.25">
      <c r="B201" t="s">
        <v>1714</v>
      </c>
      <c r="C201" t="s">
        <v>1715</v>
      </c>
      <c r="D201" t="s">
        <v>462</v>
      </c>
      <c r="E201">
        <v>2026</v>
      </c>
      <c r="F201" t="s">
        <v>29</v>
      </c>
      <c r="G201" t="s">
        <v>1716</v>
      </c>
      <c r="H201" t="s">
        <v>1717</v>
      </c>
      <c r="I201" t="s">
        <v>1718</v>
      </c>
      <c r="J201" t="s">
        <v>32</v>
      </c>
      <c r="K201" t="s">
        <v>1719</v>
      </c>
      <c r="L201" t="s">
        <v>1720</v>
      </c>
      <c r="N201" t="s">
        <v>1721</v>
      </c>
      <c r="O201" t="s">
        <v>1722</v>
      </c>
      <c r="P201" t="s">
        <v>259</v>
      </c>
      <c r="Q201" t="s">
        <v>470</v>
      </c>
      <c r="R201" t="s">
        <v>36</v>
      </c>
      <c r="S201" t="s">
        <v>37</v>
      </c>
      <c r="T201" t="s">
        <v>94</v>
      </c>
      <c r="U201">
        <v>46248.568634000003</v>
      </c>
      <c r="V201">
        <v>46297.594144000002</v>
      </c>
      <c r="Y201" t="s">
        <v>58</v>
      </c>
    </row>
    <row r="202" spans="2:25" x14ac:dyDescent="0.25">
      <c r="B202" t="s">
        <v>1723</v>
      </c>
      <c r="C202" t="s">
        <v>1724</v>
      </c>
      <c r="D202" t="s">
        <v>1725</v>
      </c>
      <c r="E202">
        <v>2025</v>
      </c>
      <c r="F202" t="s">
        <v>29</v>
      </c>
      <c r="G202" t="s">
        <v>1726</v>
      </c>
      <c r="I202" t="s">
        <v>1727</v>
      </c>
      <c r="J202" t="s">
        <v>32</v>
      </c>
      <c r="K202" t="s">
        <v>1728</v>
      </c>
      <c r="L202" t="s">
        <v>1729</v>
      </c>
      <c r="N202" t="s">
        <v>1730</v>
      </c>
      <c r="O202" t="s">
        <v>1731</v>
      </c>
      <c r="P202" t="s">
        <v>35</v>
      </c>
      <c r="R202" t="s">
        <v>36</v>
      </c>
      <c r="S202" t="s">
        <v>538</v>
      </c>
      <c r="T202" t="s">
        <v>94</v>
      </c>
      <c r="U202">
        <v>46248.568634000003</v>
      </c>
      <c r="V202">
        <v>46297.594108999998</v>
      </c>
      <c r="Y202" t="s">
        <v>58</v>
      </c>
    </row>
    <row r="203" spans="2:25" x14ac:dyDescent="0.25">
      <c r="B203" t="s">
        <v>1732</v>
      </c>
      <c r="C203" t="s">
        <v>1733</v>
      </c>
      <c r="D203" t="s">
        <v>1346</v>
      </c>
      <c r="E203">
        <v>2024</v>
      </c>
      <c r="F203" t="s">
        <v>29</v>
      </c>
      <c r="G203" t="s">
        <v>1734</v>
      </c>
      <c r="H203" t="s">
        <v>1086</v>
      </c>
      <c r="I203" t="s">
        <v>1735</v>
      </c>
      <c r="J203" t="s">
        <v>81</v>
      </c>
      <c r="K203" t="s">
        <v>1736</v>
      </c>
      <c r="L203" t="s">
        <v>1737</v>
      </c>
      <c r="N203" t="s">
        <v>1738</v>
      </c>
      <c r="O203" t="s">
        <v>1739</v>
      </c>
      <c r="P203" t="s">
        <v>1353</v>
      </c>
      <c r="Q203" t="s">
        <v>1354</v>
      </c>
      <c r="R203" t="s">
        <v>36</v>
      </c>
      <c r="S203" t="s">
        <v>490</v>
      </c>
      <c r="T203" t="s">
        <v>398</v>
      </c>
      <c r="U203">
        <v>46248.568634000003</v>
      </c>
      <c r="V203">
        <v>46297.602419000003</v>
      </c>
      <c r="Y203" t="s">
        <v>58</v>
      </c>
    </row>
    <row r="204" spans="2:25" x14ac:dyDescent="0.25">
      <c r="B204" t="s">
        <v>1061</v>
      </c>
      <c r="C204" t="s">
        <v>1062</v>
      </c>
      <c r="D204" t="s">
        <v>1740</v>
      </c>
      <c r="E204">
        <v>2025</v>
      </c>
      <c r="F204" t="s">
        <v>29</v>
      </c>
      <c r="G204" t="s">
        <v>1741</v>
      </c>
      <c r="I204" t="s">
        <v>1742</v>
      </c>
      <c r="J204" t="s">
        <v>32</v>
      </c>
      <c r="K204" t="s">
        <v>1064</v>
      </c>
      <c r="L204" t="s">
        <v>1743</v>
      </c>
      <c r="N204" t="s">
        <v>1744</v>
      </c>
      <c r="O204" t="s">
        <v>1745</v>
      </c>
      <c r="P204" t="s">
        <v>35</v>
      </c>
      <c r="R204" t="s">
        <v>36</v>
      </c>
      <c r="S204" t="s">
        <v>37</v>
      </c>
      <c r="T204" t="s">
        <v>94</v>
      </c>
      <c r="U204">
        <v>46248.568634000003</v>
      </c>
      <c r="V204">
        <v>46297.594258999998</v>
      </c>
      <c r="Y204" t="s">
        <v>58</v>
      </c>
    </row>
    <row r="205" spans="2:25" x14ac:dyDescent="0.25">
      <c r="B205" t="s">
        <v>1746</v>
      </c>
      <c r="C205" t="s">
        <v>1747</v>
      </c>
      <c r="D205" t="s">
        <v>1688</v>
      </c>
      <c r="E205">
        <v>2026</v>
      </c>
      <c r="F205" t="s">
        <v>29</v>
      </c>
      <c r="G205" t="s">
        <v>1748</v>
      </c>
      <c r="H205" t="s">
        <v>1749</v>
      </c>
      <c r="I205" t="s">
        <v>1750</v>
      </c>
      <c r="J205" t="s">
        <v>32</v>
      </c>
      <c r="L205" t="s">
        <v>1751</v>
      </c>
      <c r="N205" t="s">
        <v>1752</v>
      </c>
      <c r="O205" t="s">
        <v>1753</v>
      </c>
      <c r="P205" t="s">
        <v>1695</v>
      </c>
      <c r="Q205" t="s">
        <v>1696</v>
      </c>
      <c r="R205" t="s">
        <v>36</v>
      </c>
      <c r="S205" t="s">
        <v>37</v>
      </c>
      <c r="T205" t="s">
        <v>94</v>
      </c>
      <c r="U205">
        <v>46248.568634000003</v>
      </c>
      <c r="V205">
        <v>46297.594212999997</v>
      </c>
      <c r="Y205" t="s">
        <v>58</v>
      </c>
    </row>
    <row r="206" spans="2:25" x14ac:dyDescent="0.25">
      <c r="B206" t="s">
        <v>1754</v>
      </c>
      <c r="C206" t="s">
        <v>1755</v>
      </c>
      <c r="D206" t="s">
        <v>1756</v>
      </c>
      <c r="E206">
        <v>2024</v>
      </c>
      <c r="F206" t="s">
        <v>29</v>
      </c>
      <c r="I206" t="s">
        <v>1757</v>
      </c>
      <c r="J206" t="s">
        <v>32</v>
      </c>
      <c r="K206" t="s">
        <v>1758</v>
      </c>
      <c r="L206" t="s">
        <v>1759</v>
      </c>
      <c r="N206" t="s">
        <v>1760</v>
      </c>
      <c r="O206" t="s">
        <v>1761</v>
      </c>
      <c r="P206" t="s">
        <v>35</v>
      </c>
      <c r="R206" t="s">
        <v>36</v>
      </c>
      <c r="S206" t="s">
        <v>1762</v>
      </c>
      <c r="T206" t="s">
        <v>398</v>
      </c>
      <c r="U206">
        <v>46248.568634000003</v>
      </c>
      <c r="V206">
        <v>46297.602487999997</v>
      </c>
      <c r="Y206" t="s">
        <v>58</v>
      </c>
    </row>
    <row r="207" spans="2:25" x14ac:dyDescent="0.25">
      <c r="B207" t="s">
        <v>1763</v>
      </c>
      <c r="C207" t="s">
        <v>1764</v>
      </c>
      <c r="D207" t="s">
        <v>1765</v>
      </c>
      <c r="E207">
        <v>2025</v>
      </c>
      <c r="F207" t="s">
        <v>29</v>
      </c>
      <c r="I207" t="s">
        <v>1766</v>
      </c>
      <c r="J207" t="s">
        <v>32</v>
      </c>
      <c r="K207" t="s">
        <v>1767</v>
      </c>
      <c r="L207" t="s">
        <v>1768</v>
      </c>
      <c r="N207" t="s">
        <v>1769</v>
      </c>
      <c r="O207" t="s">
        <v>1770</v>
      </c>
      <c r="P207" t="s">
        <v>35</v>
      </c>
      <c r="R207" t="s">
        <v>36</v>
      </c>
      <c r="S207" t="s">
        <v>261</v>
      </c>
      <c r="T207" t="s">
        <v>94</v>
      </c>
      <c r="U207">
        <v>46248.568634000003</v>
      </c>
      <c r="V207">
        <v>46297.594362999997</v>
      </c>
      <c r="Y207" t="s">
        <v>58</v>
      </c>
    </row>
    <row r="208" spans="2:25" x14ac:dyDescent="0.25">
      <c r="B208" t="s">
        <v>1771</v>
      </c>
      <c r="C208" t="s">
        <v>1772</v>
      </c>
      <c r="D208" t="s">
        <v>251</v>
      </c>
      <c r="E208">
        <v>2025</v>
      </c>
      <c r="F208" t="s">
        <v>29</v>
      </c>
      <c r="G208" t="s">
        <v>1773</v>
      </c>
      <c r="H208" t="s">
        <v>1774</v>
      </c>
      <c r="I208" t="s">
        <v>1775</v>
      </c>
      <c r="J208" t="s">
        <v>32</v>
      </c>
      <c r="K208" t="s">
        <v>1776</v>
      </c>
      <c r="L208" t="s">
        <v>1777</v>
      </c>
      <c r="N208" t="s">
        <v>1778</v>
      </c>
      <c r="O208" t="s">
        <v>1779</v>
      </c>
      <c r="P208" t="s">
        <v>259</v>
      </c>
      <c r="Q208" t="s">
        <v>260</v>
      </c>
      <c r="R208" t="s">
        <v>36</v>
      </c>
      <c r="S208" t="s">
        <v>538</v>
      </c>
      <c r="T208" t="s">
        <v>94</v>
      </c>
      <c r="U208">
        <v>46248.568634000003</v>
      </c>
      <c r="V208">
        <v>46297.594305999999</v>
      </c>
      <c r="Y208" t="s">
        <v>58</v>
      </c>
    </row>
    <row r="209" spans="2:25" x14ac:dyDescent="0.25">
      <c r="B209" t="s">
        <v>1780</v>
      </c>
      <c r="C209" t="s">
        <v>1781</v>
      </c>
      <c r="D209" t="s">
        <v>1149</v>
      </c>
      <c r="E209">
        <v>2024</v>
      </c>
      <c r="F209" t="s">
        <v>29</v>
      </c>
      <c r="G209" t="s">
        <v>1782</v>
      </c>
      <c r="H209" t="s">
        <v>513</v>
      </c>
      <c r="I209" t="s">
        <v>1783</v>
      </c>
      <c r="J209" t="s">
        <v>81</v>
      </c>
      <c r="K209" t="s">
        <v>1784</v>
      </c>
      <c r="L209" t="s">
        <v>1785</v>
      </c>
      <c r="N209" t="s">
        <v>1786</v>
      </c>
      <c r="O209" t="s">
        <v>1787</v>
      </c>
      <c r="P209" t="s">
        <v>280</v>
      </c>
      <c r="Q209" t="s">
        <v>1157</v>
      </c>
      <c r="R209" t="s">
        <v>36</v>
      </c>
      <c r="S209" t="s">
        <v>1788</v>
      </c>
      <c r="T209" t="s">
        <v>398</v>
      </c>
      <c r="U209">
        <v>46248.568634000003</v>
      </c>
      <c r="V209">
        <v>46297.602557999999</v>
      </c>
      <c r="Y209" t="s">
        <v>58</v>
      </c>
    </row>
    <row r="210" spans="2:25" x14ac:dyDescent="0.25">
      <c r="B210" t="s">
        <v>1789</v>
      </c>
      <c r="C210" t="s">
        <v>1790</v>
      </c>
      <c r="D210" t="s">
        <v>1791</v>
      </c>
      <c r="E210">
        <v>2023</v>
      </c>
      <c r="F210" t="s">
        <v>29</v>
      </c>
      <c r="I210" t="s">
        <v>1792</v>
      </c>
      <c r="J210" t="s">
        <v>32</v>
      </c>
      <c r="K210" t="s">
        <v>1793</v>
      </c>
      <c r="L210" t="s">
        <v>1794</v>
      </c>
      <c r="N210" t="s">
        <v>1795</v>
      </c>
      <c r="O210" t="s">
        <v>1796</v>
      </c>
      <c r="P210" t="s">
        <v>35</v>
      </c>
      <c r="R210" t="s">
        <v>36</v>
      </c>
      <c r="S210" t="s">
        <v>216</v>
      </c>
      <c r="T210" t="s">
        <v>94</v>
      </c>
      <c r="U210">
        <v>46248.568634000003</v>
      </c>
      <c r="V210">
        <v>46297.594409999998</v>
      </c>
      <c r="Y210" t="s">
        <v>58</v>
      </c>
    </row>
    <row r="211" spans="2:25" x14ac:dyDescent="0.25">
      <c r="B211" t="s">
        <v>1797</v>
      </c>
      <c r="C211" t="s">
        <v>1798</v>
      </c>
      <c r="D211" t="s">
        <v>1799</v>
      </c>
      <c r="E211">
        <v>2022</v>
      </c>
      <c r="F211" t="s">
        <v>29</v>
      </c>
      <c r="H211" t="s">
        <v>1800</v>
      </c>
      <c r="I211" t="s">
        <v>1801</v>
      </c>
      <c r="J211" t="s">
        <v>81</v>
      </c>
      <c r="K211" t="s">
        <v>1802</v>
      </c>
      <c r="L211" t="s">
        <v>1803</v>
      </c>
      <c r="O211" t="s">
        <v>1804</v>
      </c>
      <c r="P211" t="s">
        <v>1805</v>
      </c>
      <c r="Q211" t="s">
        <v>1806</v>
      </c>
      <c r="R211" t="s">
        <v>36</v>
      </c>
      <c r="S211" t="s">
        <v>1807</v>
      </c>
      <c r="T211" t="s">
        <v>48</v>
      </c>
      <c r="U211">
        <v>46248.568634000003</v>
      </c>
      <c r="V211">
        <v>46297.574063</v>
      </c>
      <c r="Y211" t="s">
        <v>49</v>
      </c>
    </row>
    <row r="212" spans="2:25" x14ac:dyDescent="0.25">
      <c r="B212" t="s">
        <v>1808</v>
      </c>
      <c r="C212" t="s">
        <v>1809</v>
      </c>
      <c r="D212" t="s">
        <v>1810</v>
      </c>
      <c r="E212">
        <v>2025</v>
      </c>
      <c r="F212" t="s">
        <v>29</v>
      </c>
      <c r="H212" t="s">
        <v>1811</v>
      </c>
      <c r="I212" t="s">
        <v>1812</v>
      </c>
      <c r="J212" t="s">
        <v>81</v>
      </c>
      <c r="K212" t="s">
        <v>1813</v>
      </c>
      <c r="L212" t="s">
        <v>1814</v>
      </c>
      <c r="N212" t="s">
        <v>1815</v>
      </c>
      <c r="O212" t="s">
        <v>1816</v>
      </c>
      <c r="P212" t="s">
        <v>120</v>
      </c>
      <c r="Q212" t="s">
        <v>1817</v>
      </c>
      <c r="R212" t="s">
        <v>36</v>
      </c>
      <c r="S212" t="s">
        <v>1818</v>
      </c>
      <c r="T212" t="s">
        <v>94</v>
      </c>
      <c r="U212">
        <v>46248.568634000003</v>
      </c>
      <c r="V212">
        <v>46297.594502</v>
      </c>
      <c r="Y212" t="s">
        <v>58</v>
      </c>
    </row>
    <row r="213" spans="2:25" x14ac:dyDescent="0.25">
      <c r="B213" t="s">
        <v>1819</v>
      </c>
      <c r="C213" t="s">
        <v>1820</v>
      </c>
      <c r="D213" t="s">
        <v>1821</v>
      </c>
      <c r="E213">
        <v>2025</v>
      </c>
      <c r="F213" t="s">
        <v>29</v>
      </c>
      <c r="G213" t="s">
        <v>1822</v>
      </c>
      <c r="I213" t="s">
        <v>1823</v>
      </c>
      <c r="J213" t="s">
        <v>32</v>
      </c>
      <c r="K213" t="s">
        <v>1824</v>
      </c>
      <c r="L213" t="s">
        <v>1825</v>
      </c>
      <c r="N213" t="s">
        <v>1826</v>
      </c>
      <c r="O213" t="s">
        <v>1827</v>
      </c>
      <c r="P213" t="s">
        <v>1033</v>
      </c>
      <c r="R213" t="s">
        <v>36</v>
      </c>
      <c r="S213" t="s">
        <v>1828</v>
      </c>
      <c r="T213" t="s">
        <v>94</v>
      </c>
      <c r="U213">
        <v>46248.568634000003</v>
      </c>
      <c r="V213">
        <v>46297.594455999999</v>
      </c>
      <c r="Y213" t="s">
        <v>58</v>
      </c>
    </row>
    <row r="214" spans="2:25" x14ac:dyDescent="0.25">
      <c r="B214" t="s">
        <v>1829</v>
      </c>
      <c r="C214" t="s">
        <v>1830</v>
      </c>
      <c r="D214" t="s">
        <v>1209</v>
      </c>
      <c r="E214">
        <v>2025</v>
      </c>
      <c r="F214" t="s">
        <v>29</v>
      </c>
      <c r="G214" t="s">
        <v>1831</v>
      </c>
      <c r="H214" t="s">
        <v>391</v>
      </c>
      <c r="I214" t="s">
        <v>1832</v>
      </c>
      <c r="J214" t="s">
        <v>81</v>
      </c>
      <c r="K214" t="s">
        <v>1833</v>
      </c>
      <c r="L214" t="s">
        <v>1834</v>
      </c>
      <c r="N214" t="s">
        <v>1835</v>
      </c>
      <c r="O214" t="s">
        <v>1836</v>
      </c>
      <c r="P214" t="s">
        <v>35</v>
      </c>
      <c r="Q214" t="s">
        <v>1216</v>
      </c>
      <c r="R214" t="s">
        <v>36</v>
      </c>
      <c r="S214" t="s">
        <v>940</v>
      </c>
      <c r="T214" t="s">
        <v>48</v>
      </c>
      <c r="U214">
        <v>46248.568634000003</v>
      </c>
      <c r="V214">
        <v>46297.574096999997</v>
      </c>
      <c r="Y214" t="s">
        <v>49</v>
      </c>
    </row>
    <row r="215" spans="2:25" x14ac:dyDescent="0.25">
      <c r="B215" t="s">
        <v>1837</v>
      </c>
      <c r="C215" t="s">
        <v>1838</v>
      </c>
      <c r="D215" t="s">
        <v>719</v>
      </c>
      <c r="E215">
        <v>2026</v>
      </c>
      <c r="F215" t="s">
        <v>29</v>
      </c>
      <c r="H215" t="s">
        <v>720</v>
      </c>
      <c r="I215" t="s">
        <v>1839</v>
      </c>
      <c r="J215" t="s">
        <v>81</v>
      </c>
      <c r="K215" t="s">
        <v>1840</v>
      </c>
      <c r="L215" t="s">
        <v>1841</v>
      </c>
      <c r="N215" t="s">
        <v>1842</v>
      </c>
      <c r="O215" t="s">
        <v>1843</v>
      </c>
      <c r="P215" t="s">
        <v>726</v>
      </c>
      <c r="Q215" t="s">
        <v>727</v>
      </c>
      <c r="R215" t="s">
        <v>36</v>
      </c>
      <c r="S215" t="s">
        <v>422</v>
      </c>
      <c r="T215" t="s">
        <v>87</v>
      </c>
      <c r="U215">
        <v>46248.568634000003</v>
      </c>
      <c r="V215">
        <v>46255.560149999998</v>
      </c>
      <c r="Y215" t="s">
        <v>58</v>
      </c>
    </row>
    <row r="216" spans="2:25" x14ac:dyDescent="0.25">
      <c r="B216" t="s">
        <v>1844</v>
      </c>
      <c r="C216" t="s">
        <v>1845</v>
      </c>
      <c r="D216" t="s">
        <v>1846</v>
      </c>
      <c r="E216">
        <v>2024</v>
      </c>
      <c r="F216" t="s">
        <v>29</v>
      </c>
      <c r="G216" t="s">
        <v>1847</v>
      </c>
      <c r="I216" t="s">
        <v>1848</v>
      </c>
      <c r="J216" t="s">
        <v>32</v>
      </c>
      <c r="K216" t="s">
        <v>1849</v>
      </c>
      <c r="L216" t="s">
        <v>1850</v>
      </c>
      <c r="N216" t="s">
        <v>1851</v>
      </c>
      <c r="O216" t="s">
        <v>1852</v>
      </c>
      <c r="P216" t="s">
        <v>35</v>
      </c>
      <c r="R216" t="s">
        <v>36</v>
      </c>
      <c r="S216" t="s">
        <v>538</v>
      </c>
      <c r="T216" t="s">
        <v>94</v>
      </c>
      <c r="U216">
        <v>46248.568634000003</v>
      </c>
      <c r="V216">
        <v>46297.59463</v>
      </c>
      <c r="Y216" t="s">
        <v>58</v>
      </c>
    </row>
    <row r="217" spans="2:25" x14ac:dyDescent="0.25">
      <c r="B217" t="s">
        <v>1853</v>
      </c>
      <c r="C217" t="s">
        <v>1854</v>
      </c>
      <c r="D217" t="s">
        <v>1560</v>
      </c>
      <c r="E217">
        <v>2026</v>
      </c>
      <c r="F217" t="s">
        <v>29</v>
      </c>
      <c r="G217" t="s">
        <v>1855</v>
      </c>
      <c r="H217" t="s">
        <v>513</v>
      </c>
      <c r="I217" t="s">
        <v>1856</v>
      </c>
      <c r="J217" t="s">
        <v>81</v>
      </c>
      <c r="K217" t="s">
        <v>1857</v>
      </c>
      <c r="L217" t="s">
        <v>1858</v>
      </c>
      <c r="N217" t="s">
        <v>1859</v>
      </c>
      <c r="P217" t="s">
        <v>1565</v>
      </c>
      <c r="Q217" t="s">
        <v>1566</v>
      </c>
      <c r="R217" t="s">
        <v>36</v>
      </c>
      <c r="S217" t="s">
        <v>1762</v>
      </c>
      <c r="T217" t="s">
        <v>87</v>
      </c>
      <c r="U217">
        <v>46248.568634000003</v>
      </c>
      <c r="V217">
        <v>46251.840880000003</v>
      </c>
      <c r="Y217" t="s">
        <v>58</v>
      </c>
    </row>
    <row r="218" spans="2:25" x14ac:dyDescent="0.25">
      <c r="B218" t="s">
        <v>1860</v>
      </c>
      <c r="C218" t="s">
        <v>1861</v>
      </c>
      <c r="D218" t="s">
        <v>1862</v>
      </c>
      <c r="E218">
        <v>2025</v>
      </c>
      <c r="F218" t="s">
        <v>29</v>
      </c>
      <c r="I218" t="s">
        <v>1863</v>
      </c>
      <c r="J218" t="s">
        <v>32</v>
      </c>
      <c r="K218" t="s">
        <v>1864</v>
      </c>
      <c r="L218" t="s">
        <v>1865</v>
      </c>
      <c r="N218" t="s">
        <v>1866</v>
      </c>
      <c r="O218" t="s">
        <v>1867</v>
      </c>
      <c r="P218" t="s">
        <v>35</v>
      </c>
      <c r="R218" t="s">
        <v>36</v>
      </c>
      <c r="S218" t="s">
        <v>37</v>
      </c>
      <c r="T218" t="s">
        <v>94</v>
      </c>
      <c r="U218">
        <v>46248.568634000003</v>
      </c>
      <c r="V218">
        <v>46297.594699000001</v>
      </c>
      <c r="Y218" t="s">
        <v>58</v>
      </c>
    </row>
    <row r="219" spans="2:25" x14ac:dyDescent="0.25">
      <c r="B219" t="s">
        <v>1868</v>
      </c>
      <c r="C219" t="s">
        <v>1869</v>
      </c>
      <c r="D219" t="s">
        <v>1870</v>
      </c>
      <c r="E219">
        <v>2025</v>
      </c>
      <c r="F219" t="s">
        <v>29</v>
      </c>
      <c r="I219" t="s">
        <v>1871</v>
      </c>
      <c r="J219" t="s">
        <v>32</v>
      </c>
      <c r="K219" t="s">
        <v>1872</v>
      </c>
      <c r="L219" t="s">
        <v>1873</v>
      </c>
      <c r="N219" t="s">
        <v>1874</v>
      </c>
      <c r="O219" t="s">
        <v>1875</v>
      </c>
      <c r="P219" t="s">
        <v>35</v>
      </c>
      <c r="R219" t="s">
        <v>36</v>
      </c>
      <c r="S219" t="s">
        <v>37</v>
      </c>
      <c r="T219" t="s">
        <v>57</v>
      </c>
      <c r="U219">
        <v>46248.568634000003</v>
      </c>
      <c r="V219">
        <v>46297.586968000003</v>
      </c>
      <c r="Y219" t="s">
        <v>58</v>
      </c>
    </row>
    <row r="220" spans="2:25" x14ac:dyDescent="0.25">
      <c r="B220" t="s">
        <v>1876</v>
      </c>
      <c r="C220" t="s">
        <v>1877</v>
      </c>
      <c r="D220" t="s">
        <v>317</v>
      </c>
      <c r="E220">
        <v>2026</v>
      </c>
      <c r="F220" t="s">
        <v>29</v>
      </c>
      <c r="H220" t="s">
        <v>296</v>
      </c>
      <c r="I220" t="s">
        <v>1878</v>
      </c>
      <c r="J220" t="s">
        <v>81</v>
      </c>
      <c r="K220" t="s">
        <v>1879</v>
      </c>
      <c r="L220" t="s">
        <v>1880</v>
      </c>
      <c r="N220" t="s">
        <v>1881</v>
      </c>
      <c r="O220" t="s">
        <v>1882</v>
      </c>
      <c r="P220" t="s">
        <v>324</v>
      </c>
      <c r="Q220" t="s">
        <v>325</v>
      </c>
      <c r="R220" t="s">
        <v>36</v>
      </c>
      <c r="S220" t="s">
        <v>227</v>
      </c>
      <c r="T220" t="s">
        <v>48</v>
      </c>
      <c r="U220">
        <v>46248.568634000003</v>
      </c>
      <c r="V220">
        <v>46297.574132000002</v>
      </c>
      <c r="Y220" t="s">
        <v>49</v>
      </c>
    </row>
    <row r="221" spans="2:25" x14ac:dyDescent="0.25">
      <c r="B221" t="s">
        <v>1883</v>
      </c>
      <c r="C221" t="s">
        <v>1884</v>
      </c>
      <c r="D221" t="s">
        <v>1885</v>
      </c>
      <c r="E221">
        <v>2025</v>
      </c>
      <c r="F221" t="s">
        <v>29</v>
      </c>
      <c r="I221" t="s">
        <v>1886</v>
      </c>
      <c r="J221" t="s">
        <v>32</v>
      </c>
      <c r="K221" t="s">
        <v>1887</v>
      </c>
      <c r="L221" t="s">
        <v>1888</v>
      </c>
      <c r="N221" t="s">
        <v>1889</v>
      </c>
      <c r="O221" t="s">
        <v>1890</v>
      </c>
      <c r="P221" t="s">
        <v>35</v>
      </c>
      <c r="R221" t="s">
        <v>36</v>
      </c>
      <c r="S221" t="s">
        <v>261</v>
      </c>
      <c r="T221" t="s">
        <v>94</v>
      </c>
      <c r="U221">
        <v>46248.568634000003</v>
      </c>
      <c r="V221">
        <v>46297.594792000004</v>
      </c>
      <c r="Y221" t="s">
        <v>58</v>
      </c>
    </row>
    <row r="222" spans="2:25" x14ac:dyDescent="0.25">
      <c r="B222" t="s">
        <v>1891</v>
      </c>
      <c r="C222" t="s">
        <v>1892</v>
      </c>
      <c r="D222" t="s">
        <v>1893</v>
      </c>
      <c r="E222">
        <v>2025</v>
      </c>
      <c r="F222" t="s">
        <v>29</v>
      </c>
      <c r="I222" t="s">
        <v>1894</v>
      </c>
      <c r="J222" t="s">
        <v>32</v>
      </c>
      <c r="K222" t="s">
        <v>1895</v>
      </c>
      <c r="L222" t="s">
        <v>1896</v>
      </c>
      <c r="N222" t="s">
        <v>1897</v>
      </c>
      <c r="O222" t="s">
        <v>1898</v>
      </c>
      <c r="P222" t="s">
        <v>1033</v>
      </c>
      <c r="R222" t="s">
        <v>36</v>
      </c>
      <c r="S222" t="s">
        <v>422</v>
      </c>
      <c r="T222" t="s">
        <v>94</v>
      </c>
      <c r="U222">
        <v>46248.568634000003</v>
      </c>
      <c r="V222">
        <v>46297.594756999999</v>
      </c>
      <c r="Y222" t="s">
        <v>58</v>
      </c>
    </row>
    <row r="223" spans="2:25" x14ac:dyDescent="0.25">
      <c r="B223" t="s">
        <v>1899</v>
      </c>
      <c r="C223" t="s">
        <v>1900</v>
      </c>
      <c r="D223" t="s">
        <v>1901</v>
      </c>
      <c r="E223">
        <v>2023</v>
      </c>
      <c r="F223" t="s">
        <v>29</v>
      </c>
      <c r="G223" t="s">
        <v>1902</v>
      </c>
      <c r="H223" t="s">
        <v>1261</v>
      </c>
      <c r="I223" t="s">
        <v>1903</v>
      </c>
      <c r="J223" t="s">
        <v>81</v>
      </c>
      <c r="K223" t="s">
        <v>1904</v>
      </c>
      <c r="L223" t="s">
        <v>1905</v>
      </c>
      <c r="N223" t="s">
        <v>1906</v>
      </c>
      <c r="O223" t="s">
        <v>1907</v>
      </c>
      <c r="P223" t="s">
        <v>35</v>
      </c>
      <c r="Q223" t="s">
        <v>1908</v>
      </c>
      <c r="R223" t="s">
        <v>36</v>
      </c>
      <c r="S223" t="s">
        <v>1909</v>
      </c>
      <c r="T223" t="s">
        <v>48</v>
      </c>
      <c r="U223">
        <v>46248.568634000003</v>
      </c>
      <c r="V223">
        <v>46297.574178000003</v>
      </c>
      <c r="Y223" t="s">
        <v>49</v>
      </c>
    </row>
    <row r="224" spans="2:25" x14ac:dyDescent="0.25">
      <c r="B224" t="s">
        <v>1910</v>
      </c>
      <c r="C224" t="s">
        <v>1911</v>
      </c>
      <c r="D224" t="s">
        <v>251</v>
      </c>
      <c r="E224">
        <v>2026</v>
      </c>
      <c r="F224" t="s">
        <v>29</v>
      </c>
      <c r="G224" t="s">
        <v>1912</v>
      </c>
      <c r="H224" t="s">
        <v>1913</v>
      </c>
      <c r="I224" t="s">
        <v>1914</v>
      </c>
      <c r="J224" t="s">
        <v>32</v>
      </c>
      <c r="K224" t="s">
        <v>1915</v>
      </c>
      <c r="L224" t="s">
        <v>1916</v>
      </c>
      <c r="N224" t="s">
        <v>1917</v>
      </c>
      <c r="O224" t="s">
        <v>1918</v>
      </c>
      <c r="P224" t="s">
        <v>259</v>
      </c>
      <c r="Q224" t="s">
        <v>260</v>
      </c>
      <c r="R224" t="s">
        <v>36</v>
      </c>
      <c r="S224" t="s">
        <v>261</v>
      </c>
      <c r="T224" t="s">
        <v>94</v>
      </c>
      <c r="U224">
        <v>46248.568634000003</v>
      </c>
      <c r="V224">
        <v>46297.594931</v>
      </c>
      <c r="Y224" t="s">
        <v>58</v>
      </c>
    </row>
    <row r="225" spans="2:25" x14ac:dyDescent="0.25">
      <c r="B225" t="s">
        <v>1919</v>
      </c>
      <c r="C225" t="s">
        <v>1920</v>
      </c>
      <c r="D225" t="s">
        <v>1921</v>
      </c>
      <c r="E225">
        <v>2025</v>
      </c>
      <c r="F225" t="s">
        <v>29</v>
      </c>
      <c r="H225" t="s">
        <v>1199</v>
      </c>
      <c r="I225" t="s">
        <v>1922</v>
      </c>
      <c r="J225" t="s">
        <v>81</v>
      </c>
      <c r="K225" t="s">
        <v>1923</v>
      </c>
      <c r="L225" t="s">
        <v>1924</v>
      </c>
      <c r="N225" t="s">
        <v>1925</v>
      </c>
      <c r="O225" t="s">
        <v>1926</v>
      </c>
      <c r="P225" t="s">
        <v>726</v>
      </c>
      <c r="Q225" t="s">
        <v>1927</v>
      </c>
      <c r="R225" t="s">
        <v>36</v>
      </c>
      <c r="S225" t="s">
        <v>881</v>
      </c>
      <c r="T225" t="s">
        <v>94</v>
      </c>
      <c r="U225">
        <v>46248.568634000003</v>
      </c>
      <c r="V225">
        <v>46297.594906999999</v>
      </c>
      <c r="Y225" t="s">
        <v>58</v>
      </c>
    </row>
    <row r="226" spans="2:25" x14ac:dyDescent="0.25">
      <c r="B226" t="s">
        <v>1928</v>
      </c>
      <c r="C226" t="s">
        <v>1929</v>
      </c>
      <c r="D226" t="s">
        <v>337</v>
      </c>
      <c r="E226">
        <v>2024</v>
      </c>
      <c r="F226" t="s">
        <v>29</v>
      </c>
      <c r="G226" t="s">
        <v>1930</v>
      </c>
      <c r="I226" t="s">
        <v>1931</v>
      </c>
      <c r="J226" t="s">
        <v>32</v>
      </c>
      <c r="K226" t="s">
        <v>1932</v>
      </c>
      <c r="L226" t="s">
        <v>1933</v>
      </c>
      <c r="N226" t="s">
        <v>1934</v>
      </c>
      <c r="O226" t="s">
        <v>1935</v>
      </c>
      <c r="P226" t="s">
        <v>35</v>
      </c>
      <c r="R226" t="s">
        <v>36</v>
      </c>
      <c r="S226" t="s">
        <v>1333</v>
      </c>
      <c r="T226" t="s">
        <v>94</v>
      </c>
      <c r="U226">
        <v>46248.568634000003</v>
      </c>
      <c r="V226">
        <v>46297.594860999998</v>
      </c>
      <c r="Y226" t="s">
        <v>58</v>
      </c>
    </row>
    <row r="227" spans="2:25" x14ac:dyDescent="0.25">
      <c r="B227" t="s">
        <v>1936</v>
      </c>
      <c r="C227" t="s">
        <v>1937</v>
      </c>
      <c r="D227" t="s">
        <v>1938</v>
      </c>
      <c r="E227">
        <v>2026</v>
      </c>
      <c r="F227" t="s">
        <v>29</v>
      </c>
      <c r="H227" t="s">
        <v>751</v>
      </c>
      <c r="I227" t="s">
        <v>1939</v>
      </c>
      <c r="J227" t="s">
        <v>81</v>
      </c>
      <c r="K227" t="s">
        <v>994</v>
      </c>
      <c r="L227" t="s">
        <v>1940</v>
      </c>
      <c r="N227" t="s">
        <v>1941</v>
      </c>
      <c r="P227" t="s">
        <v>1942</v>
      </c>
      <c r="Q227" t="s">
        <v>1943</v>
      </c>
      <c r="R227" t="s">
        <v>36</v>
      </c>
      <c r="S227" t="s">
        <v>422</v>
      </c>
      <c r="T227" t="s">
        <v>94</v>
      </c>
      <c r="U227">
        <v>46248.568634000003</v>
      </c>
      <c r="V227">
        <v>46297.594826</v>
      </c>
      <c r="Y227" t="s">
        <v>58</v>
      </c>
    </row>
    <row r="228" spans="2:25" x14ac:dyDescent="0.25">
      <c r="B228" t="s">
        <v>1944</v>
      </c>
      <c r="C228" t="s">
        <v>1945</v>
      </c>
      <c r="D228" t="s">
        <v>355</v>
      </c>
      <c r="E228">
        <v>2026</v>
      </c>
      <c r="F228" t="s">
        <v>29</v>
      </c>
      <c r="G228" t="s">
        <v>1946</v>
      </c>
      <c r="H228" t="s">
        <v>209</v>
      </c>
      <c r="I228" t="s">
        <v>1947</v>
      </c>
      <c r="J228" t="s">
        <v>81</v>
      </c>
      <c r="K228" t="s">
        <v>1948</v>
      </c>
      <c r="L228" t="s">
        <v>1949</v>
      </c>
      <c r="N228" t="s">
        <v>1950</v>
      </c>
      <c r="P228" t="s">
        <v>355</v>
      </c>
      <c r="Q228" t="s">
        <v>361</v>
      </c>
      <c r="R228" t="s">
        <v>36</v>
      </c>
      <c r="S228" t="s">
        <v>422</v>
      </c>
      <c r="T228" t="s">
        <v>87</v>
      </c>
      <c r="U228">
        <v>46248.568634000003</v>
      </c>
      <c r="V228">
        <v>46255.566354000002</v>
      </c>
      <c r="Y228" t="s">
        <v>58</v>
      </c>
    </row>
    <row r="229" spans="2:25" x14ac:dyDescent="0.25">
      <c r="B229" t="s">
        <v>1951</v>
      </c>
      <c r="C229" t="s">
        <v>1952</v>
      </c>
      <c r="D229" t="s">
        <v>1810</v>
      </c>
      <c r="E229">
        <v>2024</v>
      </c>
      <c r="F229" t="s">
        <v>29</v>
      </c>
      <c r="H229" t="s">
        <v>1953</v>
      </c>
      <c r="I229" t="s">
        <v>1954</v>
      </c>
      <c r="J229" t="s">
        <v>81</v>
      </c>
      <c r="K229" t="s">
        <v>1955</v>
      </c>
      <c r="L229" t="s">
        <v>1956</v>
      </c>
      <c r="N229" t="s">
        <v>1957</v>
      </c>
      <c r="O229" t="s">
        <v>1958</v>
      </c>
      <c r="P229" t="s">
        <v>120</v>
      </c>
      <c r="Q229" t="s">
        <v>1817</v>
      </c>
      <c r="R229" t="s">
        <v>36</v>
      </c>
      <c r="S229" t="s">
        <v>1959</v>
      </c>
      <c r="T229" t="s">
        <v>398</v>
      </c>
      <c r="U229">
        <v>46248.568634000003</v>
      </c>
      <c r="V229">
        <v>46297.602707999999</v>
      </c>
      <c r="Y229" t="s">
        <v>58</v>
      </c>
    </row>
    <row r="230" spans="2:25" x14ac:dyDescent="0.25">
      <c r="B230" t="s">
        <v>1960</v>
      </c>
      <c r="C230" t="s">
        <v>1961</v>
      </c>
      <c r="D230" t="s">
        <v>719</v>
      </c>
      <c r="E230">
        <v>2026</v>
      </c>
      <c r="F230" t="s">
        <v>29</v>
      </c>
      <c r="H230" t="s">
        <v>720</v>
      </c>
      <c r="I230" t="s">
        <v>1962</v>
      </c>
      <c r="J230" t="s">
        <v>81</v>
      </c>
      <c r="K230" t="s">
        <v>1963</v>
      </c>
      <c r="L230" t="s">
        <v>1964</v>
      </c>
      <c r="N230" t="s">
        <v>1965</v>
      </c>
      <c r="O230" t="s">
        <v>1966</v>
      </c>
      <c r="P230" t="s">
        <v>726</v>
      </c>
      <c r="Q230" t="s">
        <v>727</v>
      </c>
      <c r="R230" t="s">
        <v>36</v>
      </c>
      <c r="S230" t="s">
        <v>422</v>
      </c>
      <c r="T230" t="s">
        <v>94</v>
      </c>
      <c r="U230">
        <v>46248.568634000003</v>
      </c>
      <c r="V230">
        <v>46297.595011999998</v>
      </c>
      <c r="Y230" t="s">
        <v>58</v>
      </c>
    </row>
    <row r="231" spans="2:25" x14ac:dyDescent="0.25">
      <c r="B231" t="s">
        <v>1967</v>
      </c>
      <c r="C231" t="s">
        <v>562</v>
      </c>
      <c r="D231" t="s">
        <v>563</v>
      </c>
      <c r="E231">
        <v>2025</v>
      </c>
      <c r="F231" t="s">
        <v>29</v>
      </c>
      <c r="G231" t="s">
        <v>1968</v>
      </c>
      <c r="I231" t="s">
        <v>1969</v>
      </c>
      <c r="J231" t="s">
        <v>32</v>
      </c>
      <c r="K231" t="s">
        <v>1970</v>
      </c>
      <c r="L231" t="s">
        <v>1971</v>
      </c>
      <c r="N231" t="s">
        <v>1972</v>
      </c>
      <c r="O231" t="s">
        <v>1973</v>
      </c>
      <c r="P231" t="s">
        <v>35</v>
      </c>
      <c r="R231" t="s">
        <v>36</v>
      </c>
      <c r="S231" t="s">
        <v>37</v>
      </c>
      <c r="T231" t="s">
        <v>398</v>
      </c>
      <c r="U231">
        <v>46248.568634000003</v>
      </c>
      <c r="V231">
        <v>46297.602766000004</v>
      </c>
      <c r="Y231" t="s">
        <v>58</v>
      </c>
    </row>
    <row r="232" spans="2:25" x14ac:dyDescent="0.25">
      <c r="B232" t="s">
        <v>1974</v>
      </c>
      <c r="C232" t="s">
        <v>1975</v>
      </c>
      <c r="D232" t="s">
        <v>1976</v>
      </c>
      <c r="E232">
        <v>2025</v>
      </c>
      <c r="F232" t="s">
        <v>29</v>
      </c>
      <c r="G232" t="s">
        <v>1977</v>
      </c>
      <c r="H232" t="s">
        <v>296</v>
      </c>
      <c r="I232" t="s">
        <v>1978</v>
      </c>
      <c r="J232" t="s">
        <v>81</v>
      </c>
      <c r="K232" t="s">
        <v>1979</v>
      </c>
      <c r="L232" t="s">
        <v>1980</v>
      </c>
      <c r="N232" t="s">
        <v>1981</v>
      </c>
      <c r="P232" t="s">
        <v>1982</v>
      </c>
      <c r="Q232" t="s">
        <v>1983</v>
      </c>
      <c r="R232" t="s">
        <v>36</v>
      </c>
      <c r="S232" t="s">
        <v>590</v>
      </c>
      <c r="T232" t="s">
        <v>94</v>
      </c>
      <c r="U232">
        <v>46248.568634000003</v>
      </c>
      <c r="V232">
        <v>46297.595104</v>
      </c>
      <c r="Y232" t="s">
        <v>58</v>
      </c>
    </row>
    <row r="233" spans="2:25" x14ac:dyDescent="0.25">
      <c r="B233" t="s">
        <v>1984</v>
      </c>
      <c r="C233" t="s">
        <v>1985</v>
      </c>
      <c r="D233" t="s">
        <v>1986</v>
      </c>
      <c r="E233">
        <v>2022</v>
      </c>
      <c r="F233" t="s">
        <v>29</v>
      </c>
      <c r="H233" t="s">
        <v>1271</v>
      </c>
      <c r="I233" t="s">
        <v>1987</v>
      </c>
      <c r="J233" t="s">
        <v>81</v>
      </c>
      <c r="K233" t="s">
        <v>1988</v>
      </c>
      <c r="L233" t="s">
        <v>1989</v>
      </c>
      <c r="N233" t="s">
        <v>1990</v>
      </c>
      <c r="P233" t="s">
        <v>803</v>
      </c>
      <c r="Q233" t="s">
        <v>1991</v>
      </c>
      <c r="R233" t="s">
        <v>36</v>
      </c>
      <c r="S233" t="s">
        <v>1443</v>
      </c>
      <c r="T233" t="s">
        <v>48</v>
      </c>
      <c r="U233">
        <v>46248.568634000003</v>
      </c>
      <c r="V233">
        <v>46297.574213</v>
      </c>
      <c r="Y233" t="s">
        <v>49</v>
      </c>
    </row>
    <row r="234" spans="2:25" x14ac:dyDescent="0.25">
      <c r="B234" t="s">
        <v>1992</v>
      </c>
      <c r="C234" t="s">
        <v>1993</v>
      </c>
      <c r="D234" t="s">
        <v>1994</v>
      </c>
      <c r="E234">
        <v>2025</v>
      </c>
      <c r="F234" t="s">
        <v>29</v>
      </c>
      <c r="G234" t="s">
        <v>1995</v>
      </c>
      <c r="H234" t="s">
        <v>209</v>
      </c>
      <c r="I234" t="s">
        <v>1996</v>
      </c>
      <c r="J234" t="s">
        <v>81</v>
      </c>
      <c r="K234" t="s">
        <v>1997</v>
      </c>
      <c r="L234" t="s">
        <v>1998</v>
      </c>
      <c r="N234" t="s">
        <v>1999</v>
      </c>
      <c r="O234" t="s">
        <v>2000</v>
      </c>
      <c r="P234" t="s">
        <v>259</v>
      </c>
      <c r="Q234" t="s">
        <v>2001</v>
      </c>
      <c r="R234" t="s">
        <v>36</v>
      </c>
      <c r="S234" t="s">
        <v>37</v>
      </c>
      <c r="T234" t="s">
        <v>48</v>
      </c>
      <c r="U234">
        <v>46248.568634000003</v>
      </c>
      <c r="V234">
        <v>46297.574282000001</v>
      </c>
      <c r="Y234" t="s">
        <v>49</v>
      </c>
    </row>
    <row r="235" spans="2:25" x14ac:dyDescent="0.25">
      <c r="B235" t="s">
        <v>2002</v>
      </c>
      <c r="C235" t="s">
        <v>2003</v>
      </c>
      <c r="D235" t="s">
        <v>2004</v>
      </c>
      <c r="E235">
        <v>2025</v>
      </c>
      <c r="F235" t="s">
        <v>29</v>
      </c>
      <c r="G235" t="s">
        <v>2005</v>
      </c>
      <c r="I235" t="s">
        <v>2006</v>
      </c>
      <c r="J235" t="s">
        <v>32</v>
      </c>
      <c r="K235" t="s">
        <v>2007</v>
      </c>
      <c r="L235" t="s">
        <v>2008</v>
      </c>
      <c r="N235" t="s">
        <v>2009</v>
      </c>
      <c r="O235" t="s">
        <v>2010</v>
      </c>
      <c r="P235" t="s">
        <v>35</v>
      </c>
      <c r="R235" t="s">
        <v>36</v>
      </c>
      <c r="S235" t="s">
        <v>37</v>
      </c>
      <c r="T235" t="s">
        <v>48</v>
      </c>
      <c r="U235">
        <v>46248.568634000003</v>
      </c>
      <c r="V235">
        <v>46297.574247999997</v>
      </c>
      <c r="Y235" t="s">
        <v>49</v>
      </c>
    </row>
    <row r="236" spans="2:25" x14ac:dyDescent="0.25">
      <c r="B236" t="s">
        <v>2011</v>
      </c>
      <c r="C236" t="s">
        <v>2012</v>
      </c>
      <c r="D236" t="s">
        <v>2013</v>
      </c>
      <c r="E236">
        <v>2024</v>
      </c>
      <c r="F236" t="s">
        <v>29</v>
      </c>
      <c r="G236" t="s">
        <v>2014</v>
      </c>
      <c r="I236" t="s">
        <v>2015</v>
      </c>
      <c r="J236" t="s">
        <v>32</v>
      </c>
      <c r="K236" t="s">
        <v>2016</v>
      </c>
      <c r="L236" t="s">
        <v>2017</v>
      </c>
      <c r="N236" t="s">
        <v>2018</v>
      </c>
      <c r="O236" t="s">
        <v>2019</v>
      </c>
      <c r="P236" t="s">
        <v>2020</v>
      </c>
      <c r="Q236" t="s">
        <v>2021</v>
      </c>
      <c r="R236" t="s">
        <v>36</v>
      </c>
      <c r="S236" t="s">
        <v>216</v>
      </c>
      <c r="T236" t="s">
        <v>87</v>
      </c>
      <c r="U236">
        <v>46248.568634000003</v>
      </c>
      <c r="V236">
        <v>46252.771249999998</v>
      </c>
      <c r="Y236" t="s">
        <v>58</v>
      </c>
    </row>
    <row r="237" spans="2:25" x14ac:dyDescent="0.25">
      <c r="B237" t="s">
        <v>2022</v>
      </c>
      <c r="C237" t="s">
        <v>2023</v>
      </c>
      <c r="D237" t="s">
        <v>551</v>
      </c>
      <c r="E237">
        <v>2025</v>
      </c>
      <c r="F237" t="s">
        <v>29</v>
      </c>
      <c r="H237" t="s">
        <v>1261</v>
      </c>
      <c r="I237" t="s">
        <v>2024</v>
      </c>
      <c r="J237" t="s">
        <v>81</v>
      </c>
      <c r="K237" t="s">
        <v>2025</v>
      </c>
      <c r="L237" t="s">
        <v>2026</v>
      </c>
      <c r="N237" t="s">
        <v>2027</v>
      </c>
      <c r="O237" t="s">
        <v>2028</v>
      </c>
      <c r="P237" t="s">
        <v>558</v>
      </c>
      <c r="Q237" t="s">
        <v>559</v>
      </c>
      <c r="R237" t="s">
        <v>36</v>
      </c>
      <c r="S237" t="s">
        <v>642</v>
      </c>
      <c r="T237" t="s">
        <v>398</v>
      </c>
      <c r="U237">
        <v>46248.568634000003</v>
      </c>
      <c r="V237">
        <v>46297.602824000001</v>
      </c>
      <c r="Y237" t="s">
        <v>58</v>
      </c>
    </row>
    <row r="238" spans="2:25" x14ac:dyDescent="0.25">
      <c r="B238" t="s">
        <v>2029</v>
      </c>
      <c r="C238" t="s">
        <v>2030</v>
      </c>
      <c r="D238" t="s">
        <v>2031</v>
      </c>
      <c r="E238">
        <v>2026</v>
      </c>
      <c r="F238" t="s">
        <v>29</v>
      </c>
      <c r="H238" t="s">
        <v>605</v>
      </c>
      <c r="I238" t="s">
        <v>2032</v>
      </c>
      <c r="J238" t="s">
        <v>81</v>
      </c>
      <c r="K238" t="s">
        <v>2033</v>
      </c>
      <c r="L238" t="s">
        <v>2034</v>
      </c>
      <c r="N238" t="s">
        <v>2035</v>
      </c>
      <c r="O238" t="s">
        <v>2036</v>
      </c>
      <c r="P238" t="s">
        <v>225</v>
      </c>
      <c r="Q238" t="s">
        <v>2037</v>
      </c>
      <c r="R238" t="s">
        <v>36</v>
      </c>
      <c r="S238" t="s">
        <v>422</v>
      </c>
      <c r="T238" t="s">
        <v>48</v>
      </c>
      <c r="U238">
        <v>46248.568634000003</v>
      </c>
      <c r="V238">
        <v>46297.574329000003</v>
      </c>
      <c r="Y238" t="s">
        <v>49</v>
      </c>
    </row>
    <row r="239" spans="2:25" x14ac:dyDescent="0.25">
      <c r="B239" t="s">
        <v>2038</v>
      </c>
      <c r="C239" t="s">
        <v>2039</v>
      </c>
      <c r="D239" t="s">
        <v>688</v>
      </c>
      <c r="E239">
        <v>2025</v>
      </c>
      <c r="F239" t="s">
        <v>29</v>
      </c>
      <c r="G239" t="s">
        <v>2040</v>
      </c>
      <c r="H239" t="s">
        <v>690</v>
      </c>
      <c r="I239" t="s">
        <v>2041</v>
      </c>
      <c r="J239" t="s">
        <v>81</v>
      </c>
      <c r="K239" t="s">
        <v>2042</v>
      </c>
      <c r="L239" t="s">
        <v>2043</v>
      </c>
      <c r="N239" t="s">
        <v>2044</v>
      </c>
      <c r="O239" t="s">
        <v>2045</v>
      </c>
      <c r="P239" t="s">
        <v>102</v>
      </c>
      <c r="Q239" t="s">
        <v>696</v>
      </c>
      <c r="R239" t="s">
        <v>36</v>
      </c>
      <c r="S239" t="s">
        <v>2046</v>
      </c>
      <c r="T239" t="s">
        <v>87</v>
      </c>
      <c r="U239">
        <v>46248.568634000003</v>
      </c>
      <c r="V239">
        <v>46252.772014000002</v>
      </c>
      <c r="Y239" t="s">
        <v>58</v>
      </c>
    </row>
    <row r="240" spans="2:25" x14ac:dyDescent="0.25">
      <c r="B240" t="s">
        <v>2047</v>
      </c>
      <c r="C240" t="s">
        <v>2048</v>
      </c>
      <c r="D240" t="s">
        <v>1688</v>
      </c>
      <c r="E240">
        <v>2025</v>
      </c>
      <c r="F240" t="s">
        <v>29</v>
      </c>
      <c r="G240" t="s">
        <v>2049</v>
      </c>
      <c r="H240" t="s">
        <v>2050</v>
      </c>
      <c r="I240" t="s">
        <v>2051</v>
      </c>
      <c r="J240" t="s">
        <v>32</v>
      </c>
      <c r="L240" t="s">
        <v>2052</v>
      </c>
      <c r="N240" t="s">
        <v>2053</v>
      </c>
      <c r="O240" t="s">
        <v>2054</v>
      </c>
      <c r="P240" t="s">
        <v>1695</v>
      </c>
      <c r="Q240" t="s">
        <v>1696</v>
      </c>
      <c r="R240" t="s">
        <v>36</v>
      </c>
      <c r="S240" t="s">
        <v>37</v>
      </c>
      <c r="T240" t="s">
        <v>94</v>
      </c>
      <c r="U240">
        <v>46248.568634000003</v>
      </c>
      <c r="V240">
        <v>46297.595161999998</v>
      </c>
      <c r="Y240" t="s">
        <v>58</v>
      </c>
    </row>
    <row r="241" spans="2:25" x14ac:dyDescent="0.25">
      <c r="B241" t="s">
        <v>2055</v>
      </c>
      <c r="C241" t="s">
        <v>2056</v>
      </c>
      <c r="D241" t="s">
        <v>462</v>
      </c>
      <c r="E241">
        <v>2026</v>
      </c>
      <c r="F241" t="s">
        <v>29</v>
      </c>
      <c r="G241" t="s">
        <v>2057</v>
      </c>
      <c r="H241" t="s">
        <v>2058</v>
      </c>
      <c r="I241" t="s">
        <v>2059</v>
      </c>
      <c r="J241" t="s">
        <v>32</v>
      </c>
      <c r="K241" t="s">
        <v>2060</v>
      </c>
      <c r="L241" t="s">
        <v>2061</v>
      </c>
      <c r="N241" t="s">
        <v>2062</v>
      </c>
      <c r="O241" t="s">
        <v>2063</v>
      </c>
      <c r="P241" t="s">
        <v>259</v>
      </c>
      <c r="Q241" t="s">
        <v>470</v>
      </c>
      <c r="R241" t="s">
        <v>36</v>
      </c>
      <c r="S241" t="s">
        <v>37</v>
      </c>
      <c r="T241" t="s">
        <v>48</v>
      </c>
      <c r="U241">
        <v>46248.568634000003</v>
      </c>
      <c r="V241">
        <v>46297.582755000003</v>
      </c>
      <c r="Y241" t="s">
        <v>49</v>
      </c>
    </row>
    <row r="242" spans="2:25" x14ac:dyDescent="0.25">
      <c r="B242" t="s">
        <v>2064</v>
      </c>
      <c r="C242" t="s">
        <v>2065</v>
      </c>
      <c r="D242" t="s">
        <v>2066</v>
      </c>
      <c r="E242">
        <v>2022</v>
      </c>
      <c r="F242" t="s">
        <v>29</v>
      </c>
      <c r="G242" t="s">
        <v>2067</v>
      </c>
      <c r="H242" t="s">
        <v>1261</v>
      </c>
      <c r="I242" t="s">
        <v>2068</v>
      </c>
      <c r="J242" t="s">
        <v>81</v>
      </c>
      <c r="K242" t="s">
        <v>2069</v>
      </c>
      <c r="L242" t="s">
        <v>2070</v>
      </c>
      <c r="N242" t="s">
        <v>2071</v>
      </c>
      <c r="P242" t="s">
        <v>2072</v>
      </c>
      <c r="Q242" t="s">
        <v>2073</v>
      </c>
      <c r="R242" t="s">
        <v>36</v>
      </c>
      <c r="S242" t="s">
        <v>2074</v>
      </c>
      <c r="T242" t="s">
        <v>94</v>
      </c>
      <c r="U242">
        <v>46248.568634000003</v>
      </c>
      <c r="V242">
        <v>46297.595220000003</v>
      </c>
      <c r="Y242" t="s">
        <v>58</v>
      </c>
    </row>
    <row r="243" spans="2:25" x14ac:dyDescent="0.25">
      <c r="B243" t="s">
        <v>2075</v>
      </c>
      <c r="C243" t="s">
        <v>2076</v>
      </c>
      <c r="D243" t="s">
        <v>2077</v>
      </c>
      <c r="E243">
        <v>2025</v>
      </c>
      <c r="F243" t="s">
        <v>29</v>
      </c>
      <c r="H243" t="s">
        <v>2078</v>
      </c>
      <c r="I243" t="s">
        <v>2079</v>
      </c>
      <c r="J243" t="s">
        <v>32</v>
      </c>
      <c r="K243" t="s">
        <v>2080</v>
      </c>
      <c r="L243" t="s">
        <v>2081</v>
      </c>
      <c r="N243" t="s">
        <v>2082</v>
      </c>
      <c r="O243" t="s">
        <v>2083</v>
      </c>
      <c r="P243" t="s">
        <v>2084</v>
      </c>
      <c r="Q243" t="s">
        <v>2085</v>
      </c>
      <c r="R243" t="s">
        <v>36</v>
      </c>
      <c r="S243" t="s">
        <v>37</v>
      </c>
      <c r="T243" t="s">
        <v>48</v>
      </c>
      <c r="U243">
        <v>46248.568634000003</v>
      </c>
      <c r="V243">
        <v>46297.574479000003</v>
      </c>
      <c r="Y243" t="s">
        <v>49</v>
      </c>
    </row>
    <row r="244" spans="2:25" x14ac:dyDescent="0.25">
      <c r="B244" t="s">
        <v>2086</v>
      </c>
      <c r="C244" t="s">
        <v>2087</v>
      </c>
      <c r="D244" t="s">
        <v>1810</v>
      </c>
      <c r="E244">
        <v>2025</v>
      </c>
      <c r="F244" t="s">
        <v>29</v>
      </c>
      <c r="H244" t="s">
        <v>2088</v>
      </c>
      <c r="I244" t="s">
        <v>2089</v>
      </c>
      <c r="J244" t="s">
        <v>81</v>
      </c>
      <c r="K244" t="s">
        <v>2090</v>
      </c>
      <c r="L244" t="s">
        <v>2091</v>
      </c>
      <c r="N244" t="s">
        <v>2092</v>
      </c>
      <c r="O244" t="s">
        <v>2093</v>
      </c>
      <c r="P244" t="s">
        <v>120</v>
      </c>
      <c r="Q244" t="s">
        <v>1817</v>
      </c>
      <c r="R244" t="s">
        <v>36</v>
      </c>
      <c r="S244" t="s">
        <v>2094</v>
      </c>
      <c r="T244" t="s">
        <v>398</v>
      </c>
      <c r="U244">
        <v>46248.568634000003</v>
      </c>
      <c r="V244">
        <v>46297.602894000003</v>
      </c>
      <c r="Y244" t="s">
        <v>58</v>
      </c>
    </row>
    <row r="245" spans="2:25" x14ac:dyDescent="0.25">
      <c r="B245" t="s">
        <v>2095</v>
      </c>
      <c r="C245" t="s">
        <v>2096</v>
      </c>
      <c r="D245" t="s">
        <v>2097</v>
      </c>
      <c r="E245">
        <v>2025</v>
      </c>
      <c r="F245" t="s">
        <v>29</v>
      </c>
      <c r="G245" t="s">
        <v>2098</v>
      </c>
      <c r="I245" t="s">
        <v>2099</v>
      </c>
      <c r="J245" t="s">
        <v>32</v>
      </c>
      <c r="K245" t="s">
        <v>2100</v>
      </c>
      <c r="L245" t="s">
        <v>2101</v>
      </c>
      <c r="N245" t="s">
        <v>2102</v>
      </c>
      <c r="O245" t="s">
        <v>2103</v>
      </c>
      <c r="P245" t="s">
        <v>35</v>
      </c>
      <c r="R245" t="s">
        <v>36</v>
      </c>
      <c r="S245" t="s">
        <v>37</v>
      </c>
      <c r="T245" t="s">
        <v>94</v>
      </c>
      <c r="U245">
        <v>46248.568634000003</v>
      </c>
      <c r="V245">
        <v>46297.595324000002</v>
      </c>
      <c r="Y245" t="s">
        <v>58</v>
      </c>
    </row>
    <row r="246" spans="2:25" x14ac:dyDescent="0.25">
      <c r="B246" t="s">
        <v>2104</v>
      </c>
      <c r="C246" t="s">
        <v>2105</v>
      </c>
      <c r="D246" t="s">
        <v>1821</v>
      </c>
      <c r="E246">
        <v>2025</v>
      </c>
      <c r="F246" t="s">
        <v>29</v>
      </c>
      <c r="G246" t="s">
        <v>2106</v>
      </c>
      <c r="I246" t="s">
        <v>2107</v>
      </c>
      <c r="J246" t="s">
        <v>32</v>
      </c>
      <c r="K246" t="s">
        <v>2108</v>
      </c>
      <c r="L246" t="s">
        <v>2109</v>
      </c>
      <c r="N246" t="s">
        <v>2110</v>
      </c>
      <c r="O246" t="s">
        <v>2111</v>
      </c>
      <c r="P246" t="s">
        <v>1033</v>
      </c>
      <c r="R246" t="s">
        <v>36</v>
      </c>
      <c r="S246" t="s">
        <v>2112</v>
      </c>
      <c r="T246" t="s">
        <v>94</v>
      </c>
      <c r="U246">
        <v>46248.568634000003</v>
      </c>
      <c r="V246">
        <v>46297.595278000001</v>
      </c>
      <c r="Y246" t="s">
        <v>58</v>
      </c>
    </row>
    <row r="247" spans="2:25" x14ac:dyDescent="0.25">
      <c r="B247" t="s">
        <v>2113</v>
      </c>
      <c r="C247" t="s">
        <v>2114</v>
      </c>
      <c r="D247" t="s">
        <v>2115</v>
      </c>
      <c r="E247">
        <v>2025</v>
      </c>
      <c r="F247" t="s">
        <v>29</v>
      </c>
      <c r="I247" t="s">
        <v>2116</v>
      </c>
      <c r="J247" t="s">
        <v>32</v>
      </c>
      <c r="K247" t="s">
        <v>2117</v>
      </c>
      <c r="L247" t="s">
        <v>2118</v>
      </c>
      <c r="N247" t="s">
        <v>2119</v>
      </c>
      <c r="O247" t="s">
        <v>2120</v>
      </c>
      <c r="P247" t="s">
        <v>35</v>
      </c>
      <c r="R247" t="s">
        <v>36</v>
      </c>
      <c r="S247" t="s">
        <v>37</v>
      </c>
      <c r="T247" t="s">
        <v>57</v>
      </c>
      <c r="U247">
        <v>46248.568634000003</v>
      </c>
      <c r="V247">
        <v>46297.587187999998</v>
      </c>
      <c r="Y247" t="s">
        <v>58</v>
      </c>
    </row>
    <row r="248" spans="2:25" x14ac:dyDescent="0.25">
      <c r="B248" t="s">
        <v>2121</v>
      </c>
      <c r="C248" t="s">
        <v>2122</v>
      </c>
      <c r="D248" t="s">
        <v>1810</v>
      </c>
      <c r="E248">
        <v>2021</v>
      </c>
      <c r="F248" t="s">
        <v>29</v>
      </c>
      <c r="H248" t="s">
        <v>2123</v>
      </c>
      <c r="I248" t="s">
        <v>2124</v>
      </c>
      <c r="J248" t="s">
        <v>81</v>
      </c>
      <c r="K248" t="s">
        <v>2125</v>
      </c>
      <c r="L248" t="s">
        <v>2126</v>
      </c>
      <c r="N248" t="s">
        <v>2127</v>
      </c>
      <c r="O248" t="s">
        <v>2128</v>
      </c>
      <c r="P248" t="s">
        <v>120</v>
      </c>
      <c r="Q248" t="s">
        <v>1817</v>
      </c>
      <c r="R248" t="s">
        <v>36</v>
      </c>
      <c r="S248" t="s">
        <v>2129</v>
      </c>
      <c r="T248" t="s">
        <v>87</v>
      </c>
      <c r="U248">
        <v>46248.568634000003</v>
      </c>
      <c r="V248">
        <v>46252.774248000002</v>
      </c>
      <c r="Y248" t="s">
        <v>58</v>
      </c>
    </row>
    <row r="249" spans="2:25" x14ac:dyDescent="0.25">
      <c r="B249" t="s">
        <v>2130</v>
      </c>
      <c r="C249" t="s">
        <v>2131</v>
      </c>
      <c r="D249" t="s">
        <v>2132</v>
      </c>
      <c r="E249">
        <v>2026</v>
      </c>
      <c r="F249" t="s">
        <v>29</v>
      </c>
      <c r="G249" t="s">
        <v>2133</v>
      </c>
      <c r="I249" t="s">
        <v>2134</v>
      </c>
      <c r="J249" t="s">
        <v>32</v>
      </c>
      <c r="K249" t="s">
        <v>2135</v>
      </c>
      <c r="L249" t="s">
        <v>2136</v>
      </c>
      <c r="N249" t="s">
        <v>2137</v>
      </c>
      <c r="O249" t="s">
        <v>2138</v>
      </c>
      <c r="P249" t="s">
        <v>35</v>
      </c>
      <c r="R249" t="s">
        <v>36</v>
      </c>
      <c r="S249" t="s">
        <v>37</v>
      </c>
      <c r="T249" t="s">
        <v>94</v>
      </c>
      <c r="U249">
        <v>46248.568634000003</v>
      </c>
      <c r="V249">
        <v>46297.595428000001</v>
      </c>
      <c r="Y249" t="s">
        <v>58</v>
      </c>
    </row>
    <row r="250" spans="2:25" x14ac:dyDescent="0.25">
      <c r="B250" t="s">
        <v>2139</v>
      </c>
      <c r="C250" t="s">
        <v>2140</v>
      </c>
      <c r="D250" t="s">
        <v>2141</v>
      </c>
      <c r="E250">
        <v>2026</v>
      </c>
      <c r="F250" t="s">
        <v>29</v>
      </c>
      <c r="H250" t="s">
        <v>2142</v>
      </c>
      <c r="I250" t="s">
        <v>2143</v>
      </c>
      <c r="J250" t="s">
        <v>81</v>
      </c>
      <c r="K250" t="s">
        <v>2144</v>
      </c>
      <c r="L250" t="s">
        <v>2145</v>
      </c>
      <c r="N250" t="s">
        <v>2146</v>
      </c>
      <c r="P250" t="s">
        <v>259</v>
      </c>
      <c r="Q250" t="s">
        <v>2147</v>
      </c>
      <c r="R250" t="s">
        <v>36</v>
      </c>
      <c r="S250" t="s">
        <v>227</v>
      </c>
      <c r="T250" t="s">
        <v>398</v>
      </c>
      <c r="U250">
        <v>46248.568634000003</v>
      </c>
      <c r="V250">
        <v>46297.602998000002</v>
      </c>
      <c r="Y250" t="s">
        <v>58</v>
      </c>
    </row>
    <row r="251" spans="2:25" x14ac:dyDescent="0.25">
      <c r="B251" t="s">
        <v>2148</v>
      </c>
      <c r="C251" t="s">
        <v>2149</v>
      </c>
      <c r="D251" t="s">
        <v>2150</v>
      </c>
      <c r="E251">
        <v>2025</v>
      </c>
      <c r="F251" t="s">
        <v>29</v>
      </c>
      <c r="G251" t="s">
        <v>2151</v>
      </c>
      <c r="H251" t="s">
        <v>1162</v>
      </c>
      <c r="I251" t="s">
        <v>2152</v>
      </c>
      <c r="J251" t="s">
        <v>81</v>
      </c>
      <c r="K251" t="s">
        <v>2153</v>
      </c>
      <c r="L251" t="s">
        <v>2154</v>
      </c>
      <c r="N251" t="s">
        <v>2155</v>
      </c>
      <c r="P251" t="s">
        <v>2156</v>
      </c>
      <c r="Q251" t="s">
        <v>2157</v>
      </c>
      <c r="R251" t="s">
        <v>36</v>
      </c>
      <c r="S251" t="s">
        <v>227</v>
      </c>
      <c r="T251" t="s">
        <v>94</v>
      </c>
      <c r="U251">
        <v>46248.568634000003</v>
      </c>
      <c r="V251">
        <v>46297.595521000003</v>
      </c>
      <c r="Y251" t="s">
        <v>58</v>
      </c>
    </row>
    <row r="252" spans="2:25" x14ac:dyDescent="0.25">
      <c r="B252" t="s">
        <v>2158</v>
      </c>
      <c r="C252" t="s">
        <v>2159</v>
      </c>
      <c r="D252" t="s">
        <v>2160</v>
      </c>
      <c r="E252">
        <v>2024</v>
      </c>
      <c r="F252" t="s">
        <v>29</v>
      </c>
      <c r="I252" t="s">
        <v>2161</v>
      </c>
      <c r="J252" t="s">
        <v>32</v>
      </c>
      <c r="K252" t="s">
        <v>2162</v>
      </c>
      <c r="L252" t="s">
        <v>2163</v>
      </c>
      <c r="N252" t="s">
        <v>2164</v>
      </c>
      <c r="O252" t="s">
        <v>2165</v>
      </c>
      <c r="P252" t="s">
        <v>35</v>
      </c>
      <c r="R252" t="s">
        <v>36</v>
      </c>
      <c r="S252" t="s">
        <v>538</v>
      </c>
      <c r="T252" t="s">
        <v>94</v>
      </c>
      <c r="U252">
        <v>46248.568634000003</v>
      </c>
      <c r="V252">
        <v>46297.595475000002</v>
      </c>
      <c r="Y252" t="s">
        <v>58</v>
      </c>
    </row>
    <row r="253" spans="2:25" x14ac:dyDescent="0.25">
      <c r="B253" t="s">
        <v>2166</v>
      </c>
      <c r="C253" t="s">
        <v>2167</v>
      </c>
      <c r="D253" t="s">
        <v>1102</v>
      </c>
      <c r="E253">
        <v>2026</v>
      </c>
      <c r="F253" t="s">
        <v>29</v>
      </c>
      <c r="H253" t="s">
        <v>552</v>
      </c>
      <c r="I253" t="s">
        <v>2168</v>
      </c>
      <c r="J253" t="s">
        <v>81</v>
      </c>
      <c r="K253" t="s">
        <v>2169</v>
      </c>
      <c r="L253" t="s">
        <v>2170</v>
      </c>
      <c r="N253" t="s">
        <v>2171</v>
      </c>
      <c r="O253" t="s">
        <v>2172</v>
      </c>
      <c r="P253" t="s">
        <v>1108</v>
      </c>
      <c r="Q253" t="s">
        <v>1109</v>
      </c>
      <c r="R253" t="s">
        <v>36</v>
      </c>
      <c r="S253" t="s">
        <v>1713</v>
      </c>
      <c r="T253" t="s">
        <v>48</v>
      </c>
      <c r="U253">
        <v>46248.568634000003</v>
      </c>
      <c r="V253">
        <v>46297.574514</v>
      </c>
      <c r="Y253" t="s">
        <v>49</v>
      </c>
    </row>
    <row r="254" spans="2:25" x14ac:dyDescent="0.25">
      <c r="B254" t="s">
        <v>2173</v>
      </c>
      <c r="C254" t="s">
        <v>2174</v>
      </c>
      <c r="D254" t="s">
        <v>2175</v>
      </c>
      <c r="E254">
        <v>2022</v>
      </c>
      <c r="F254" t="s">
        <v>29</v>
      </c>
      <c r="H254" t="s">
        <v>108</v>
      </c>
      <c r="I254" t="s">
        <v>2176</v>
      </c>
      <c r="J254" t="s">
        <v>81</v>
      </c>
      <c r="K254" t="s">
        <v>2177</v>
      </c>
      <c r="L254" t="s">
        <v>2178</v>
      </c>
      <c r="N254" t="s">
        <v>2179</v>
      </c>
      <c r="P254" t="s">
        <v>280</v>
      </c>
      <c r="Q254" t="s">
        <v>2180</v>
      </c>
      <c r="R254" t="s">
        <v>36</v>
      </c>
      <c r="S254" t="s">
        <v>1333</v>
      </c>
      <c r="T254" t="s">
        <v>48</v>
      </c>
      <c r="U254">
        <v>46248.568634000003</v>
      </c>
      <c r="V254">
        <v>46297.574548999997</v>
      </c>
      <c r="Y254" t="s">
        <v>49</v>
      </c>
    </row>
    <row r="255" spans="2:25" x14ac:dyDescent="0.25">
      <c r="B255" t="s">
        <v>2181</v>
      </c>
      <c r="C255" t="s">
        <v>2182</v>
      </c>
      <c r="D255" t="s">
        <v>401</v>
      </c>
      <c r="E255">
        <v>2026</v>
      </c>
      <c r="F255" t="s">
        <v>29</v>
      </c>
      <c r="G255" t="s">
        <v>2183</v>
      </c>
      <c r="H255" t="s">
        <v>2184</v>
      </c>
      <c r="I255" t="s">
        <v>2185</v>
      </c>
      <c r="J255" t="s">
        <v>32</v>
      </c>
      <c r="K255" t="s">
        <v>2186</v>
      </c>
      <c r="L255" t="s">
        <v>2187</v>
      </c>
      <c r="N255" t="s">
        <v>2188</v>
      </c>
      <c r="O255" t="s">
        <v>2189</v>
      </c>
      <c r="P255" t="s">
        <v>259</v>
      </c>
      <c r="Q255" t="s">
        <v>409</v>
      </c>
      <c r="R255" t="s">
        <v>36</v>
      </c>
      <c r="S255" t="s">
        <v>37</v>
      </c>
      <c r="T255" t="s">
        <v>87</v>
      </c>
      <c r="U255">
        <v>46248.568634000003</v>
      </c>
      <c r="V255">
        <v>46252.781620000002</v>
      </c>
      <c r="Y255" t="s">
        <v>58</v>
      </c>
    </row>
    <row r="256" spans="2:25" x14ac:dyDescent="0.25">
      <c r="B256" t="s">
        <v>2190</v>
      </c>
      <c r="C256" t="s">
        <v>2191</v>
      </c>
      <c r="D256" t="s">
        <v>2192</v>
      </c>
      <c r="E256">
        <v>2026</v>
      </c>
      <c r="F256" t="s">
        <v>29</v>
      </c>
      <c r="I256" t="s">
        <v>2193</v>
      </c>
      <c r="J256" t="s">
        <v>32</v>
      </c>
      <c r="K256" t="s">
        <v>2194</v>
      </c>
      <c r="L256" t="s">
        <v>2195</v>
      </c>
      <c r="N256" t="s">
        <v>2196</v>
      </c>
      <c r="O256" t="s">
        <v>2197</v>
      </c>
      <c r="P256" t="s">
        <v>35</v>
      </c>
      <c r="R256" t="s">
        <v>36</v>
      </c>
      <c r="S256" t="s">
        <v>37</v>
      </c>
      <c r="T256" t="s">
        <v>94</v>
      </c>
      <c r="U256">
        <v>46248.568634000003</v>
      </c>
      <c r="V256">
        <v>46297.595579000001</v>
      </c>
      <c r="Y256" t="s">
        <v>58</v>
      </c>
    </row>
    <row r="257" spans="2:25" x14ac:dyDescent="0.25">
      <c r="B257" t="s">
        <v>2198</v>
      </c>
      <c r="C257" t="s">
        <v>2199</v>
      </c>
      <c r="D257" t="s">
        <v>2141</v>
      </c>
      <c r="E257">
        <v>2024</v>
      </c>
      <c r="F257" t="s">
        <v>29</v>
      </c>
      <c r="H257" t="s">
        <v>647</v>
      </c>
      <c r="I257" t="s">
        <v>2200</v>
      </c>
      <c r="J257" t="s">
        <v>81</v>
      </c>
      <c r="K257" t="s">
        <v>2201</v>
      </c>
      <c r="L257" t="s">
        <v>2202</v>
      </c>
      <c r="N257" t="s">
        <v>2203</v>
      </c>
      <c r="P257" t="s">
        <v>259</v>
      </c>
      <c r="Q257" t="s">
        <v>2147</v>
      </c>
      <c r="R257" t="s">
        <v>36</v>
      </c>
      <c r="S257" t="s">
        <v>940</v>
      </c>
      <c r="T257" t="s">
        <v>398</v>
      </c>
      <c r="U257">
        <v>46248.568634000003</v>
      </c>
      <c r="V257">
        <v>46297.603079</v>
      </c>
      <c r="Y257" t="s">
        <v>58</v>
      </c>
    </row>
    <row r="258" spans="2:25" x14ac:dyDescent="0.25">
      <c r="B258" t="s">
        <v>2204</v>
      </c>
      <c r="C258" t="s">
        <v>2205</v>
      </c>
      <c r="D258" t="s">
        <v>1688</v>
      </c>
      <c r="E258">
        <v>2025</v>
      </c>
      <c r="F258" t="s">
        <v>29</v>
      </c>
      <c r="G258" t="s">
        <v>2206</v>
      </c>
      <c r="H258" t="s">
        <v>2207</v>
      </c>
      <c r="I258" t="s">
        <v>2208</v>
      </c>
      <c r="J258" t="s">
        <v>32</v>
      </c>
      <c r="L258" t="s">
        <v>2209</v>
      </c>
      <c r="N258" t="s">
        <v>2210</v>
      </c>
      <c r="O258" t="s">
        <v>2211</v>
      </c>
      <c r="P258" t="s">
        <v>1695</v>
      </c>
      <c r="Q258" t="s">
        <v>1696</v>
      </c>
      <c r="R258" t="s">
        <v>36</v>
      </c>
      <c r="S258" t="s">
        <v>2212</v>
      </c>
      <c r="T258" t="s">
        <v>94</v>
      </c>
      <c r="U258">
        <v>46248.568634000003</v>
      </c>
      <c r="V258">
        <v>46297.595683</v>
      </c>
      <c r="Y258" t="s">
        <v>58</v>
      </c>
    </row>
    <row r="259" spans="2:25" x14ac:dyDescent="0.25">
      <c r="B259" t="s">
        <v>2213</v>
      </c>
      <c r="C259" t="s">
        <v>2214</v>
      </c>
      <c r="D259" t="s">
        <v>2215</v>
      </c>
      <c r="E259">
        <v>2026</v>
      </c>
      <c r="F259" t="s">
        <v>29</v>
      </c>
      <c r="G259" t="s">
        <v>2216</v>
      </c>
      <c r="I259" t="s">
        <v>2217</v>
      </c>
      <c r="J259" t="s">
        <v>32</v>
      </c>
      <c r="K259" t="s">
        <v>2218</v>
      </c>
      <c r="L259" t="s">
        <v>2219</v>
      </c>
      <c r="N259" t="s">
        <v>2220</v>
      </c>
      <c r="O259" t="s">
        <v>2221</v>
      </c>
      <c r="P259" t="s">
        <v>1033</v>
      </c>
      <c r="R259" t="s">
        <v>36</v>
      </c>
      <c r="S259" t="s">
        <v>422</v>
      </c>
      <c r="T259" t="s">
        <v>87</v>
      </c>
      <c r="U259">
        <v>46248.568634000003</v>
      </c>
      <c r="V259">
        <v>46252.774699000001</v>
      </c>
      <c r="Y259" t="s">
        <v>58</v>
      </c>
    </row>
    <row r="260" spans="2:25" x14ac:dyDescent="0.25">
      <c r="B260" t="s">
        <v>2222</v>
      </c>
      <c r="C260" t="s">
        <v>2223</v>
      </c>
      <c r="D260" t="s">
        <v>2224</v>
      </c>
      <c r="E260">
        <v>2025</v>
      </c>
      <c r="F260" t="s">
        <v>29</v>
      </c>
      <c r="I260" t="s">
        <v>2225</v>
      </c>
      <c r="J260" t="s">
        <v>32</v>
      </c>
      <c r="K260" t="s">
        <v>2226</v>
      </c>
      <c r="L260" t="s">
        <v>2227</v>
      </c>
      <c r="N260" t="s">
        <v>2228</v>
      </c>
      <c r="O260" t="s">
        <v>2229</v>
      </c>
      <c r="P260" t="s">
        <v>35</v>
      </c>
      <c r="R260" t="s">
        <v>36</v>
      </c>
      <c r="S260" t="s">
        <v>37</v>
      </c>
      <c r="T260" t="s">
        <v>48</v>
      </c>
      <c r="U260">
        <v>46248.568634000003</v>
      </c>
      <c r="V260">
        <v>46297.574583000001</v>
      </c>
      <c r="Y260" t="s">
        <v>49</v>
      </c>
    </row>
    <row r="261" spans="2:25" x14ac:dyDescent="0.25">
      <c r="B261" t="s">
        <v>2230</v>
      </c>
      <c r="C261" t="s">
        <v>2231</v>
      </c>
      <c r="D261" t="s">
        <v>2232</v>
      </c>
      <c r="E261">
        <v>2026</v>
      </c>
      <c r="F261" t="s">
        <v>29</v>
      </c>
      <c r="G261" t="s">
        <v>2233</v>
      </c>
      <c r="I261" t="s">
        <v>2234</v>
      </c>
      <c r="J261" t="s">
        <v>32</v>
      </c>
      <c r="K261" t="s">
        <v>2235</v>
      </c>
      <c r="L261" t="s">
        <v>2236</v>
      </c>
      <c r="N261" t="s">
        <v>2237</v>
      </c>
      <c r="O261" t="s">
        <v>2238</v>
      </c>
      <c r="P261" t="s">
        <v>1033</v>
      </c>
      <c r="R261" t="s">
        <v>36</v>
      </c>
      <c r="S261" t="s">
        <v>422</v>
      </c>
      <c r="T261" t="s">
        <v>48</v>
      </c>
      <c r="U261">
        <v>46248.568634000003</v>
      </c>
      <c r="V261">
        <v>46297.574617999999</v>
      </c>
      <c r="Y261" t="s">
        <v>49</v>
      </c>
    </row>
    <row r="262" spans="2:25" x14ac:dyDescent="0.25">
      <c r="B262" t="s">
        <v>2239</v>
      </c>
      <c r="C262" t="s">
        <v>2240</v>
      </c>
      <c r="D262" t="s">
        <v>2241</v>
      </c>
      <c r="E262">
        <v>2024</v>
      </c>
      <c r="F262" t="s">
        <v>672</v>
      </c>
      <c r="G262" t="s">
        <v>2242</v>
      </c>
      <c r="H262" t="s">
        <v>80</v>
      </c>
      <c r="I262" t="s">
        <v>31</v>
      </c>
      <c r="K262" t="s">
        <v>2243</v>
      </c>
      <c r="L262" t="s">
        <v>2244</v>
      </c>
      <c r="T262" t="s">
        <v>57</v>
      </c>
      <c r="U262">
        <v>46248.588299000003</v>
      </c>
      <c r="V262">
        <v>46297.587406999999</v>
      </c>
      <c r="Y262" t="s">
        <v>58</v>
      </c>
    </row>
    <row r="263" spans="2:25" x14ac:dyDescent="0.25">
      <c r="B263" t="s">
        <v>2245</v>
      </c>
      <c r="C263" t="s">
        <v>2246</v>
      </c>
      <c r="D263" t="s">
        <v>2241</v>
      </c>
      <c r="E263">
        <v>2023</v>
      </c>
      <c r="F263" t="s">
        <v>672</v>
      </c>
      <c r="G263" t="s">
        <v>2247</v>
      </c>
      <c r="H263" t="s">
        <v>839</v>
      </c>
      <c r="I263" t="s">
        <v>31</v>
      </c>
      <c r="K263" t="s">
        <v>2248</v>
      </c>
      <c r="L263" t="s">
        <v>2249</v>
      </c>
      <c r="T263" t="s">
        <v>57</v>
      </c>
      <c r="U263">
        <v>46248.588299000003</v>
      </c>
      <c r="V263">
        <v>46297.587360999998</v>
      </c>
      <c r="Y263" t="s">
        <v>58</v>
      </c>
    </row>
    <row r="264" spans="2:25" x14ac:dyDescent="0.25">
      <c r="B264" t="s">
        <v>2250</v>
      </c>
      <c r="C264" t="s">
        <v>2251</v>
      </c>
      <c r="D264" t="s">
        <v>2252</v>
      </c>
      <c r="E264">
        <v>2024</v>
      </c>
      <c r="F264" t="s">
        <v>672</v>
      </c>
      <c r="G264" t="s">
        <v>2253</v>
      </c>
      <c r="H264" t="s">
        <v>2254</v>
      </c>
      <c r="I264" t="s">
        <v>31</v>
      </c>
      <c r="K264" t="s">
        <v>2255</v>
      </c>
      <c r="L264" t="s">
        <v>2256</v>
      </c>
      <c r="T264" t="s">
        <v>48</v>
      </c>
      <c r="U264">
        <v>46248.588299000003</v>
      </c>
      <c r="V264">
        <v>46297.574675999997</v>
      </c>
      <c r="Y264" t="s">
        <v>49</v>
      </c>
    </row>
    <row r="265" spans="2:25" x14ac:dyDescent="0.25">
      <c r="B265" t="s">
        <v>2257</v>
      </c>
      <c r="C265" t="s">
        <v>2258</v>
      </c>
      <c r="D265" t="s">
        <v>79</v>
      </c>
      <c r="E265">
        <v>2026</v>
      </c>
      <c r="F265" t="s">
        <v>672</v>
      </c>
      <c r="G265" t="s">
        <v>2259</v>
      </c>
      <c r="H265" t="s">
        <v>80</v>
      </c>
      <c r="I265" t="s">
        <v>31</v>
      </c>
      <c r="K265" t="s">
        <v>2260</v>
      </c>
      <c r="L265" t="s">
        <v>2261</v>
      </c>
      <c r="T265" t="s">
        <v>48</v>
      </c>
      <c r="U265">
        <v>46248.588299000003</v>
      </c>
      <c r="V265">
        <v>46297.574640999999</v>
      </c>
      <c r="Y265" t="s">
        <v>49</v>
      </c>
    </row>
    <row r="266" spans="2:25" x14ac:dyDescent="0.25">
      <c r="B266" t="s">
        <v>2262</v>
      </c>
      <c r="C266" t="s">
        <v>2263</v>
      </c>
      <c r="E266">
        <v>2021</v>
      </c>
      <c r="F266" t="s">
        <v>672</v>
      </c>
      <c r="G266" t="s">
        <v>2264</v>
      </c>
      <c r="I266" t="s">
        <v>2265</v>
      </c>
      <c r="P266" t="s">
        <v>1942</v>
      </c>
      <c r="T266" t="s">
        <v>48</v>
      </c>
      <c r="U266">
        <v>46248.588356</v>
      </c>
      <c r="V266">
        <v>46297.579074000001</v>
      </c>
      <c r="Y266" t="s">
        <v>49</v>
      </c>
    </row>
    <row r="267" spans="2:25" x14ac:dyDescent="0.25">
      <c r="B267" t="s">
        <v>2266</v>
      </c>
      <c r="C267" t="s">
        <v>2267</v>
      </c>
      <c r="D267" t="s">
        <v>2077</v>
      </c>
      <c r="E267">
        <v>2026</v>
      </c>
      <c r="F267" t="s">
        <v>29</v>
      </c>
      <c r="H267" t="s">
        <v>2268</v>
      </c>
      <c r="I267" t="s">
        <v>2269</v>
      </c>
      <c r="J267" t="s">
        <v>32</v>
      </c>
      <c r="K267" t="s">
        <v>2270</v>
      </c>
      <c r="L267" t="s">
        <v>2271</v>
      </c>
      <c r="N267" t="s">
        <v>2272</v>
      </c>
      <c r="O267" t="s">
        <v>2273</v>
      </c>
      <c r="P267" t="s">
        <v>2084</v>
      </c>
      <c r="Q267" t="s">
        <v>2085</v>
      </c>
      <c r="R267" t="s">
        <v>36</v>
      </c>
      <c r="S267" t="s">
        <v>37</v>
      </c>
      <c r="T267" t="s">
        <v>48</v>
      </c>
      <c r="U267">
        <v>46248.568646</v>
      </c>
      <c r="V267">
        <v>46297.578853999999</v>
      </c>
      <c r="Y267" t="s">
        <v>49</v>
      </c>
    </row>
    <row r="268" spans="2:25" x14ac:dyDescent="0.25">
      <c r="B268" t="s">
        <v>1001</v>
      </c>
      <c r="C268" t="s">
        <v>1002</v>
      </c>
      <c r="D268" t="s">
        <v>462</v>
      </c>
      <c r="E268">
        <v>2026</v>
      </c>
      <c r="F268" t="s">
        <v>29</v>
      </c>
      <c r="G268" t="s">
        <v>2274</v>
      </c>
      <c r="H268" t="s">
        <v>2275</v>
      </c>
      <c r="I268" t="s">
        <v>2276</v>
      </c>
      <c r="J268" t="s">
        <v>32</v>
      </c>
      <c r="K268" t="s">
        <v>2277</v>
      </c>
      <c r="L268" t="s">
        <v>2278</v>
      </c>
      <c r="N268" t="s">
        <v>2279</v>
      </c>
      <c r="O268" t="s">
        <v>2280</v>
      </c>
      <c r="P268" t="s">
        <v>259</v>
      </c>
      <c r="Q268" t="s">
        <v>470</v>
      </c>
      <c r="R268" t="s">
        <v>36</v>
      </c>
      <c r="S268" t="s">
        <v>37</v>
      </c>
      <c r="T268" t="s">
        <v>38</v>
      </c>
      <c r="U268">
        <v>46248.568634000003</v>
      </c>
      <c r="V268">
        <v>46297.578136999997</v>
      </c>
      <c r="Y268" t="s">
        <v>39</v>
      </c>
    </row>
    <row r="269" spans="2:25" x14ac:dyDescent="0.25">
      <c r="B269" t="s">
        <v>65</v>
      </c>
      <c r="C269" t="s">
        <v>66</v>
      </c>
      <c r="E269">
        <v>2026</v>
      </c>
      <c r="F269" t="s">
        <v>127</v>
      </c>
      <c r="G269" t="s">
        <v>919</v>
      </c>
      <c r="I269" t="s">
        <v>2281</v>
      </c>
      <c r="K269" t="s">
        <v>69</v>
      </c>
      <c r="O269" t="s">
        <v>2282</v>
      </c>
      <c r="T269" t="s">
        <v>38</v>
      </c>
      <c r="U269">
        <v>46276.556388999998</v>
      </c>
      <c r="V269">
        <v>46297.578044000002</v>
      </c>
      <c r="Y269" t="s">
        <v>39</v>
      </c>
    </row>
    <row r="270" spans="2:25" x14ac:dyDescent="0.25">
      <c r="B270" t="s">
        <v>980</v>
      </c>
      <c r="C270" t="s">
        <v>2283</v>
      </c>
      <c r="D270" t="s">
        <v>2284</v>
      </c>
      <c r="E270">
        <v>2024</v>
      </c>
      <c r="F270" t="s">
        <v>29</v>
      </c>
      <c r="H270" t="s">
        <v>983</v>
      </c>
      <c r="I270" t="s">
        <v>2285</v>
      </c>
      <c r="J270" t="s">
        <v>81</v>
      </c>
      <c r="K270" t="s">
        <v>984</v>
      </c>
      <c r="L270" t="s">
        <v>2286</v>
      </c>
      <c r="N270" t="s">
        <v>2287</v>
      </c>
      <c r="O270" t="s">
        <v>2288</v>
      </c>
      <c r="P270" t="s">
        <v>457</v>
      </c>
      <c r="Q270" t="s">
        <v>2289</v>
      </c>
      <c r="R270" t="s">
        <v>36</v>
      </c>
      <c r="S270" t="s">
        <v>2290</v>
      </c>
      <c r="T270" t="s">
        <v>38</v>
      </c>
      <c r="U270">
        <v>46248.568646</v>
      </c>
      <c r="V270">
        <v>46297.578090000003</v>
      </c>
      <c r="Y270" t="s">
        <v>39</v>
      </c>
    </row>
    <row r="271" spans="2:25" x14ac:dyDescent="0.25">
      <c r="B271" t="s">
        <v>2291</v>
      </c>
      <c r="C271" t="s">
        <v>2292</v>
      </c>
      <c r="D271" t="s">
        <v>441</v>
      </c>
      <c r="E271">
        <v>2024</v>
      </c>
      <c r="F271" t="s">
        <v>29</v>
      </c>
      <c r="G271" t="s">
        <v>2293</v>
      </c>
      <c r="I271" t="s">
        <v>2294</v>
      </c>
      <c r="J271" t="s">
        <v>32</v>
      </c>
      <c r="K271" t="s">
        <v>2295</v>
      </c>
      <c r="L271" t="s">
        <v>2296</v>
      </c>
      <c r="N271" t="s">
        <v>2297</v>
      </c>
      <c r="P271" t="s">
        <v>214</v>
      </c>
      <c r="Q271" t="s">
        <v>447</v>
      </c>
      <c r="R271" t="s">
        <v>36</v>
      </c>
      <c r="S271" t="s">
        <v>37</v>
      </c>
      <c r="T271" t="s">
        <v>398</v>
      </c>
      <c r="U271">
        <v>46248.568634000003</v>
      </c>
      <c r="V271">
        <v>46297.603877000001</v>
      </c>
      <c r="Y271" t="s">
        <v>58</v>
      </c>
    </row>
    <row r="272" spans="2:25" x14ac:dyDescent="0.25">
      <c r="B272" t="s">
        <v>2298</v>
      </c>
      <c r="C272" t="s">
        <v>2299</v>
      </c>
      <c r="D272" t="s">
        <v>2300</v>
      </c>
      <c r="E272">
        <v>2025</v>
      </c>
      <c r="F272" t="s">
        <v>29</v>
      </c>
      <c r="I272" t="s">
        <v>2301</v>
      </c>
      <c r="J272" t="s">
        <v>32</v>
      </c>
      <c r="K272" t="s">
        <v>2302</v>
      </c>
      <c r="L272" t="s">
        <v>2303</v>
      </c>
      <c r="N272" t="s">
        <v>2304</v>
      </c>
      <c r="O272" t="s">
        <v>2305</v>
      </c>
      <c r="P272" t="s">
        <v>35</v>
      </c>
      <c r="R272" t="s">
        <v>36</v>
      </c>
      <c r="S272" t="s">
        <v>37</v>
      </c>
      <c r="T272" t="s">
        <v>398</v>
      </c>
      <c r="U272">
        <v>46248.568646</v>
      </c>
      <c r="V272">
        <v>46297.603426000001</v>
      </c>
      <c r="Y272" t="s">
        <v>58</v>
      </c>
    </row>
    <row r="273" spans="2:25" x14ac:dyDescent="0.25">
      <c r="B273" t="s">
        <v>2306</v>
      </c>
      <c r="C273" t="s">
        <v>2307</v>
      </c>
      <c r="D273" t="s">
        <v>572</v>
      </c>
      <c r="E273">
        <v>2023</v>
      </c>
      <c r="F273" t="s">
        <v>29</v>
      </c>
      <c r="G273" t="s">
        <v>2308</v>
      </c>
      <c r="H273" t="s">
        <v>2309</v>
      </c>
      <c r="I273" t="s">
        <v>2310</v>
      </c>
      <c r="J273" t="s">
        <v>81</v>
      </c>
      <c r="K273" t="s">
        <v>2311</v>
      </c>
      <c r="L273" t="s">
        <v>2312</v>
      </c>
      <c r="N273" t="s">
        <v>2313</v>
      </c>
      <c r="P273" t="s">
        <v>457</v>
      </c>
      <c r="Q273" t="s">
        <v>578</v>
      </c>
      <c r="R273" t="s">
        <v>36</v>
      </c>
      <c r="S273" t="s">
        <v>2314</v>
      </c>
      <c r="T273" t="s">
        <v>398</v>
      </c>
      <c r="U273">
        <v>46248.568646</v>
      </c>
      <c r="V273">
        <v>46297.603356</v>
      </c>
      <c r="Y273" t="s">
        <v>58</v>
      </c>
    </row>
    <row r="274" spans="2:25" x14ac:dyDescent="0.25">
      <c r="B274" t="s">
        <v>2315</v>
      </c>
      <c r="C274" t="s">
        <v>2316</v>
      </c>
      <c r="D274" t="s">
        <v>2317</v>
      </c>
      <c r="E274">
        <v>2025</v>
      </c>
      <c r="F274" t="s">
        <v>29</v>
      </c>
      <c r="H274" t="s">
        <v>99</v>
      </c>
      <c r="I274" t="s">
        <v>2318</v>
      </c>
      <c r="J274" t="s">
        <v>81</v>
      </c>
      <c r="K274" t="s">
        <v>2319</v>
      </c>
      <c r="L274" t="s">
        <v>2320</v>
      </c>
      <c r="N274" t="s">
        <v>2321</v>
      </c>
      <c r="O274" t="s">
        <v>2322</v>
      </c>
      <c r="P274" t="s">
        <v>225</v>
      </c>
      <c r="Q274" t="s">
        <v>2323</v>
      </c>
      <c r="R274" t="s">
        <v>36</v>
      </c>
      <c r="S274" t="s">
        <v>2324</v>
      </c>
      <c r="T274" t="s">
        <v>398</v>
      </c>
      <c r="U274">
        <v>46248.568634000003</v>
      </c>
      <c r="V274">
        <v>46297.603390999997</v>
      </c>
      <c r="Y274" t="s">
        <v>58</v>
      </c>
    </row>
    <row r="275" spans="2:25" x14ac:dyDescent="0.25">
      <c r="B275" t="s">
        <v>2325</v>
      </c>
      <c r="C275" t="s">
        <v>2326</v>
      </c>
      <c r="D275" t="s">
        <v>541</v>
      </c>
      <c r="E275">
        <v>2021</v>
      </c>
      <c r="F275" t="s">
        <v>29</v>
      </c>
      <c r="G275" t="s">
        <v>2327</v>
      </c>
      <c r="I275" t="s">
        <v>2328</v>
      </c>
      <c r="J275" t="s">
        <v>32</v>
      </c>
      <c r="K275" t="s">
        <v>2329</v>
      </c>
      <c r="L275" t="s">
        <v>2330</v>
      </c>
      <c r="N275" t="s">
        <v>2331</v>
      </c>
      <c r="O275" t="s">
        <v>2332</v>
      </c>
      <c r="P275" t="s">
        <v>236</v>
      </c>
      <c r="R275" t="s">
        <v>36</v>
      </c>
      <c r="S275" t="s">
        <v>538</v>
      </c>
      <c r="T275" t="s">
        <v>398</v>
      </c>
      <c r="U275">
        <v>46248.568634000003</v>
      </c>
      <c r="V275">
        <v>46297.603159999999</v>
      </c>
      <c r="Y275" t="s">
        <v>58</v>
      </c>
    </row>
    <row r="276" spans="2:25" x14ac:dyDescent="0.25">
      <c r="B276" t="s">
        <v>2333</v>
      </c>
      <c r="C276" t="s">
        <v>2334</v>
      </c>
      <c r="D276" t="s">
        <v>2335</v>
      </c>
      <c r="E276">
        <v>2025</v>
      </c>
      <c r="F276" t="s">
        <v>29</v>
      </c>
      <c r="G276" t="s">
        <v>2336</v>
      </c>
      <c r="H276" t="s">
        <v>954</v>
      </c>
      <c r="I276" t="s">
        <v>2337</v>
      </c>
      <c r="J276" t="s">
        <v>81</v>
      </c>
      <c r="K276" t="s">
        <v>2338</v>
      </c>
      <c r="L276" t="s">
        <v>2339</v>
      </c>
      <c r="N276" t="s">
        <v>2340</v>
      </c>
      <c r="P276" t="s">
        <v>280</v>
      </c>
      <c r="Q276" t="s">
        <v>2341</v>
      </c>
      <c r="R276" t="s">
        <v>36</v>
      </c>
      <c r="S276" t="s">
        <v>2342</v>
      </c>
      <c r="T276" t="s">
        <v>398</v>
      </c>
      <c r="U276">
        <v>46248.568646</v>
      </c>
      <c r="V276">
        <v>46297.603229</v>
      </c>
      <c r="Y276" t="s">
        <v>58</v>
      </c>
    </row>
    <row r="277" spans="2:25" x14ac:dyDescent="0.25">
      <c r="B277" t="s">
        <v>2343</v>
      </c>
      <c r="C277" t="s">
        <v>2344</v>
      </c>
      <c r="D277" t="s">
        <v>2345</v>
      </c>
      <c r="E277">
        <v>2025</v>
      </c>
      <c r="F277" t="s">
        <v>29</v>
      </c>
      <c r="G277" t="s">
        <v>1741</v>
      </c>
      <c r="I277" t="s">
        <v>2346</v>
      </c>
      <c r="J277" t="s">
        <v>32</v>
      </c>
      <c r="K277" t="s">
        <v>2347</v>
      </c>
      <c r="L277" t="s">
        <v>2348</v>
      </c>
      <c r="N277" t="s">
        <v>2349</v>
      </c>
      <c r="O277" t="s">
        <v>2350</v>
      </c>
      <c r="P277" t="s">
        <v>35</v>
      </c>
      <c r="R277" t="s">
        <v>36</v>
      </c>
      <c r="S277" t="s">
        <v>37</v>
      </c>
      <c r="T277" t="s">
        <v>398</v>
      </c>
      <c r="U277">
        <v>46248.568646</v>
      </c>
      <c r="V277">
        <v>46297.599073999998</v>
      </c>
      <c r="Y277" t="s">
        <v>58</v>
      </c>
    </row>
    <row r="278" spans="2:25" x14ac:dyDescent="0.25">
      <c r="B278" t="s">
        <v>2351</v>
      </c>
      <c r="C278" t="s">
        <v>2352</v>
      </c>
      <c r="D278" t="s">
        <v>2353</v>
      </c>
      <c r="E278">
        <v>2024</v>
      </c>
      <c r="F278" t="s">
        <v>29</v>
      </c>
      <c r="G278" t="s">
        <v>2354</v>
      </c>
      <c r="H278" t="s">
        <v>513</v>
      </c>
      <c r="I278" t="s">
        <v>2355</v>
      </c>
      <c r="J278" t="s">
        <v>81</v>
      </c>
      <c r="K278" t="s">
        <v>2356</v>
      </c>
      <c r="L278" t="s">
        <v>2357</v>
      </c>
      <c r="N278" t="s">
        <v>2358</v>
      </c>
      <c r="O278" t="s">
        <v>2359</v>
      </c>
      <c r="P278" t="s">
        <v>84</v>
      </c>
      <c r="Q278" t="s">
        <v>2360</v>
      </c>
      <c r="R278" t="s">
        <v>36</v>
      </c>
      <c r="S278" t="s">
        <v>248</v>
      </c>
      <c r="T278" t="s">
        <v>398</v>
      </c>
      <c r="U278">
        <v>46248.568634000003</v>
      </c>
      <c r="V278">
        <v>46297.603194000003</v>
      </c>
      <c r="Y278" t="s">
        <v>58</v>
      </c>
    </row>
    <row r="279" spans="2:25" x14ac:dyDescent="0.25">
      <c r="B279" t="s">
        <v>2361</v>
      </c>
      <c r="C279" t="s">
        <v>2362</v>
      </c>
      <c r="D279" t="s">
        <v>790</v>
      </c>
      <c r="E279">
        <v>2022</v>
      </c>
      <c r="F279" t="s">
        <v>29</v>
      </c>
      <c r="H279" t="s">
        <v>296</v>
      </c>
      <c r="I279" t="s">
        <v>2363</v>
      </c>
      <c r="J279" t="s">
        <v>81</v>
      </c>
      <c r="K279" t="s">
        <v>2364</v>
      </c>
      <c r="L279" t="s">
        <v>2365</v>
      </c>
      <c r="N279" t="s">
        <v>2366</v>
      </c>
      <c r="P279" t="s">
        <v>803</v>
      </c>
      <c r="Q279" t="s">
        <v>795</v>
      </c>
      <c r="R279" t="s">
        <v>36</v>
      </c>
      <c r="S279" t="s">
        <v>227</v>
      </c>
      <c r="T279" t="s">
        <v>398</v>
      </c>
      <c r="U279">
        <v>46248.568646</v>
      </c>
      <c r="V279">
        <v>46297.603322000003</v>
      </c>
      <c r="Y279" t="s">
        <v>58</v>
      </c>
    </row>
    <row r="280" spans="2:25" x14ac:dyDescent="0.25">
      <c r="B280" t="s">
        <v>2367</v>
      </c>
      <c r="C280" t="s">
        <v>2368</v>
      </c>
      <c r="D280" t="s">
        <v>678</v>
      </c>
      <c r="E280">
        <v>2025</v>
      </c>
      <c r="F280" t="s">
        <v>29</v>
      </c>
      <c r="H280" t="s">
        <v>1172</v>
      </c>
      <c r="I280" t="s">
        <v>2369</v>
      </c>
      <c r="J280" t="s">
        <v>81</v>
      </c>
      <c r="K280" t="s">
        <v>2370</v>
      </c>
      <c r="L280" t="s">
        <v>2371</v>
      </c>
      <c r="N280" t="s">
        <v>2372</v>
      </c>
      <c r="O280" t="s">
        <v>2373</v>
      </c>
      <c r="P280" t="s">
        <v>225</v>
      </c>
      <c r="Q280" t="s">
        <v>684</v>
      </c>
      <c r="R280" t="s">
        <v>36</v>
      </c>
      <c r="S280" t="s">
        <v>422</v>
      </c>
      <c r="T280" t="s">
        <v>398</v>
      </c>
      <c r="U280">
        <v>46248.568646</v>
      </c>
      <c r="V280">
        <v>46297.603263999998</v>
      </c>
      <c r="Y280" t="s">
        <v>58</v>
      </c>
    </row>
    <row r="281" spans="2:25" x14ac:dyDescent="0.25">
      <c r="B281" t="s">
        <v>2374</v>
      </c>
      <c r="C281" t="s">
        <v>2375</v>
      </c>
      <c r="D281" t="s">
        <v>2376</v>
      </c>
      <c r="E281">
        <v>2024</v>
      </c>
      <c r="F281" t="s">
        <v>29</v>
      </c>
      <c r="G281" t="s">
        <v>2377</v>
      </c>
      <c r="H281" t="s">
        <v>1411</v>
      </c>
      <c r="I281" t="s">
        <v>2378</v>
      </c>
      <c r="J281" t="s">
        <v>81</v>
      </c>
      <c r="K281" t="s">
        <v>2379</v>
      </c>
      <c r="L281" t="s">
        <v>2380</v>
      </c>
      <c r="N281" t="s">
        <v>2381</v>
      </c>
      <c r="O281" t="s">
        <v>2382</v>
      </c>
      <c r="P281" t="s">
        <v>2383</v>
      </c>
      <c r="Q281" t="s">
        <v>2384</v>
      </c>
      <c r="R281" t="s">
        <v>36</v>
      </c>
      <c r="S281" t="s">
        <v>2385</v>
      </c>
      <c r="T281" t="s">
        <v>398</v>
      </c>
      <c r="U281">
        <v>46248.568646</v>
      </c>
      <c r="V281">
        <v>46297.603472000003</v>
      </c>
      <c r="Y281" t="s">
        <v>58</v>
      </c>
    </row>
    <row r="282" spans="2:25" x14ac:dyDescent="0.25">
      <c r="B282" t="s">
        <v>2386</v>
      </c>
      <c r="C282" t="s">
        <v>2387</v>
      </c>
      <c r="D282" t="s">
        <v>251</v>
      </c>
      <c r="E282">
        <v>2025</v>
      </c>
      <c r="F282" t="s">
        <v>29</v>
      </c>
      <c r="G282" t="s">
        <v>2388</v>
      </c>
      <c r="H282" t="s">
        <v>2389</v>
      </c>
      <c r="I282" t="s">
        <v>2390</v>
      </c>
      <c r="J282" t="s">
        <v>32</v>
      </c>
      <c r="K282" t="s">
        <v>2391</v>
      </c>
      <c r="L282" t="s">
        <v>2392</v>
      </c>
      <c r="N282" t="s">
        <v>2393</v>
      </c>
      <c r="O282" t="s">
        <v>2394</v>
      </c>
      <c r="P282" t="s">
        <v>259</v>
      </c>
      <c r="Q282" t="s">
        <v>260</v>
      </c>
      <c r="R282" t="s">
        <v>36</v>
      </c>
      <c r="S282" t="s">
        <v>1762</v>
      </c>
      <c r="T282" t="s">
        <v>94</v>
      </c>
      <c r="U282">
        <v>46248.568646</v>
      </c>
      <c r="V282">
        <v>46297.597025000003</v>
      </c>
      <c r="Y282" t="s">
        <v>58</v>
      </c>
    </row>
    <row r="283" spans="2:25" x14ac:dyDescent="0.25">
      <c r="B283" t="s">
        <v>2395</v>
      </c>
      <c r="C283" t="s">
        <v>2396</v>
      </c>
      <c r="E283">
        <v>2024</v>
      </c>
      <c r="F283" t="s">
        <v>230</v>
      </c>
      <c r="G283" t="s">
        <v>2397</v>
      </c>
      <c r="I283" t="s">
        <v>2398</v>
      </c>
      <c r="K283" t="s">
        <v>2399</v>
      </c>
      <c r="L283" t="s">
        <v>2400</v>
      </c>
      <c r="O283" t="s">
        <v>2401</v>
      </c>
      <c r="P283" t="s">
        <v>236</v>
      </c>
      <c r="T283" t="s">
        <v>94</v>
      </c>
      <c r="U283">
        <v>46248.587847000003</v>
      </c>
      <c r="V283">
        <v>46297.596956000001</v>
      </c>
      <c r="Y283" t="s">
        <v>58</v>
      </c>
    </row>
    <row r="284" spans="2:25" x14ac:dyDescent="0.25">
      <c r="B284" t="s">
        <v>2402</v>
      </c>
      <c r="C284" t="s">
        <v>2403</v>
      </c>
      <c r="D284" t="s">
        <v>401</v>
      </c>
      <c r="E284">
        <v>2025</v>
      </c>
      <c r="F284" t="s">
        <v>29</v>
      </c>
      <c r="G284" t="s">
        <v>2404</v>
      </c>
      <c r="H284" t="s">
        <v>2405</v>
      </c>
      <c r="I284" t="s">
        <v>2406</v>
      </c>
      <c r="J284" t="s">
        <v>32</v>
      </c>
      <c r="K284" t="s">
        <v>2407</v>
      </c>
      <c r="L284" t="s">
        <v>2408</v>
      </c>
      <c r="N284" t="s">
        <v>2409</v>
      </c>
      <c r="O284" t="s">
        <v>2410</v>
      </c>
      <c r="P284" t="s">
        <v>259</v>
      </c>
      <c r="Q284" t="s">
        <v>409</v>
      </c>
      <c r="R284" t="s">
        <v>36</v>
      </c>
      <c r="S284" t="s">
        <v>37</v>
      </c>
      <c r="T284" t="s">
        <v>94</v>
      </c>
      <c r="U284">
        <v>46248.568634000003</v>
      </c>
      <c r="V284">
        <v>46297.596920999997</v>
      </c>
      <c r="Y284" t="s">
        <v>58</v>
      </c>
    </row>
    <row r="285" spans="2:25" x14ac:dyDescent="0.25">
      <c r="B285" t="s">
        <v>2411</v>
      </c>
      <c r="C285" t="s">
        <v>2412</v>
      </c>
      <c r="D285" t="s">
        <v>337</v>
      </c>
      <c r="E285">
        <v>2024</v>
      </c>
      <c r="F285" t="s">
        <v>29</v>
      </c>
      <c r="G285" t="s">
        <v>2413</v>
      </c>
      <c r="I285" t="s">
        <v>2414</v>
      </c>
      <c r="J285" t="s">
        <v>32</v>
      </c>
      <c r="K285" t="s">
        <v>2415</v>
      </c>
      <c r="L285" t="s">
        <v>2416</v>
      </c>
      <c r="N285" t="s">
        <v>2417</v>
      </c>
      <c r="O285" t="s">
        <v>2418</v>
      </c>
      <c r="P285" t="s">
        <v>35</v>
      </c>
      <c r="R285" t="s">
        <v>36</v>
      </c>
      <c r="S285" t="s">
        <v>538</v>
      </c>
      <c r="T285" t="s">
        <v>94</v>
      </c>
      <c r="U285">
        <v>46248.568646</v>
      </c>
      <c r="V285">
        <v>46297.597268999998</v>
      </c>
      <c r="Y285" t="s">
        <v>58</v>
      </c>
    </row>
    <row r="286" spans="2:25" x14ac:dyDescent="0.25">
      <c r="B286" t="s">
        <v>2419</v>
      </c>
      <c r="C286" t="s">
        <v>2420</v>
      </c>
      <c r="D286" t="s">
        <v>219</v>
      </c>
      <c r="E286">
        <v>2021</v>
      </c>
      <c r="F286" t="s">
        <v>29</v>
      </c>
      <c r="H286" t="s">
        <v>318</v>
      </c>
      <c r="I286" t="s">
        <v>2421</v>
      </c>
      <c r="J286" t="s">
        <v>81</v>
      </c>
      <c r="K286" t="s">
        <v>2422</v>
      </c>
      <c r="L286" t="s">
        <v>2423</v>
      </c>
      <c r="N286" t="s">
        <v>2424</v>
      </c>
      <c r="P286" t="s">
        <v>803</v>
      </c>
      <c r="Q286" t="s">
        <v>226</v>
      </c>
      <c r="R286" t="s">
        <v>36</v>
      </c>
      <c r="S286" t="s">
        <v>2425</v>
      </c>
      <c r="T286" t="s">
        <v>94</v>
      </c>
      <c r="U286">
        <v>46248.568646</v>
      </c>
      <c r="V286">
        <v>46297.596562999999</v>
      </c>
      <c r="Y286" t="s">
        <v>58</v>
      </c>
    </row>
    <row r="287" spans="2:25" x14ac:dyDescent="0.25">
      <c r="B287" t="s">
        <v>2426</v>
      </c>
      <c r="C287" t="s">
        <v>2427</v>
      </c>
      <c r="D287" t="s">
        <v>2428</v>
      </c>
      <c r="E287">
        <v>2026</v>
      </c>
      <c r="F287" t="s">
        <v>29</v>
      </c>
      <c r="H287" t="s">
        <v>1188</v>
      </c>
      <c r="I287" t="s">
        <v>2429</v>
      </c>
      <c r="J287" t="s">
        <v>81</v>
      </c>
      <c r="K287" t="s">
        <v>2430</v>
      </c>
      <c r="L287" t="s">
        <v>2431</v>
      </c>
      <c r="N287" t="s">
        <v>2432</v>
      </c>
      <c r="P287" t="s">
        <v>558</v>
      </c>
      <c r="Q287" t="s">
        <v>2433</v>
      </c>
      <c r="R287" t="s">
        <v>36</v>
      </c>
      <c r="S287" t="s">
        <v>642</v>
      </c>
      <c r="T287" t="s">
        <v>94</v>
      </c>
      <c r="U287">
        <v>46248.568646</v>
      </c>
      <c r="V287">
        <v>46297.596492999997</v>
      </c>
      <c r="Y287" t="s">
        <v>58</v>
      </c>
    </row>
    <row r="288" spans="2:25" x14ac:dyDescent="0.25">
      <c r="B288" t="s">
        <v>2434</v>
      </c>
      <c r="C288" t="s">
        <v>2435</v>
      </c>
      <c r="D288" t="s">
        <v>2436</v>
      </c>
      <c r="E288">
        <v>2024</v>
      </c>
      <c r="F288" t="s">
        <v>29</v>
      </c>
      <c r="I288" t="s">
        <v>2437</v>
      </c>
      <c r="J288" t="s">
        <v>32</v>
      </c>
      <c r="K288" t="s">
        <v>2438</v>
      </c>
      <c r="L288" t="s">
        <v>2439</v>
      </c>
      <c r="N288" t="s">
        <v>2440</v>
      </c>
      <c r="O288" t="s">
        <v>2441</v>
      </c>
      <c r="P288" t="s">
        <v>1033</v>
      </c>
      <c r="R288" t="s">
        <v>36</v>
      </c>
      <c r="S288" t="s">
        <v>2442</v>
      </c>
      <c r="T288" t="s">
        <v>94</v>
      </c>
      <c r="U288">
        <v>46248.568646</v>
      </c>
      <c r="V288">
        <v>46297.596538999998</v>
      </c>
      <c r="Y288" t="s">
        <v>58</v>
      </c>
    </row>
    <row r="289" spans="2:25" x14ac:dyDescent="0.25">
      <c r="B289" t="s">
        <v>1016</v>
      </c>
      <c r="C289" t="s">
        <v>2443</v>
      </c>
      <c r="D289" t="s">
        <v>2444</v>
      </c>
      <c r="E289">
        <v>2025</v>
      </c>
      <c r="F289" t="s">
        <v>29</v>
      </c>
      <c r="I289" t="s">
        <v>1019</v>
      </c>
      <c r="J289" t="s">
        <v>32</v>
      </c>
      <c r="K289" t="s">
        <v>2445</v>
      </c>
      <c r="L289" t="s">
        <v>2446</v>
      </c>
      <c r="N289" t="s">
        <v>1022</v>
      </c>
      <c r="O289" t="s">
        <v>1023</v>
      </c>
      <c r="P289" t="s">
        <v>35</v>
      </c>
      <c r="R289" t="s">
        <v>36</v>
      </c>
      <c r="S289" t="s">
        <v>37</v>
      </c>
      <c r="T289" t="s">
        <v>94</v>
      </c>
      <c r="U289">
        <v>46248.568634000003</v>
      </c>
      <c r="V289">
        <v>46297.596424000003</v>
      </c>
      <c r="Y289" t="s">
        <v>58</v>
      </c>
    </row>
    <row r="290" spans="2:25" x14ac:dyDescent="0.25">
      <c r="B290" t="s">
        <v>2447</v>
      </c>
      <c r="C290" t="s">
        <v>2448</v>
      </c>
      <c r="D290" t="s">
        <v>709</v>
      </c>
      <c r="E290">
        <v>2022</v>
      </c>
      <c r="F290" t="s">
        <v>29</v>
      </c>
      <c r="G290" t="s">
        <v>2449</v>
      </c>
      <c r="H290" t="s">
        <v>2450</v>
      </c>
      <c r="I290" t="s">
        <v>2451</v>
      </c>
      <c r="J290" t="s">
        <v>81</v>
      </c>
      <c r="L290" t="s">
        <v>2452</v>
      </c>
      <c r="N290" t="s">
        <v>2453</v>
      </c>
      <c r="P290" t="s">
        <v>715</v>
      </c>
      <c r="Q290" t="s">
        <v>716</v>
      </c>
      <c r="R290" t="s">
        <v>36</v>
      </c>
      <c r="S290" t="s">
        <v>216</v>
      </c>
      <c r="T290" t="s">
        <v>94</v>
      </c>
      <c r="U290">
        <v>46248.568634000003</v>
      </c>
      <c r="V290">
        <v>46297.596168999997</v>
      </c>
      <c r="Y290" t="s">
        <v>58</v>
      </c>
    </row>
    <row r="291" spans="2:25" x14ac:dyDescent="0.25">
      <c r="B291" t="s">
        <v>2454</v>
      </c>
      <c r="C291" t="s">
        <v>2455</v>
      </c>
      <c r="D291" t="s">
        <v>1622</v>
      </c>
      <c r="E291">
        <v>2024</v>
      </c>
      <c r="F291" t="s">
        <v>29</v>
      </c>
      <c r="H291" t="s">
        <v>2456</v>
      </c>
      <c r="I291" t="s">
        <v>2457</v>
      </c>
      <c r="J291" t="s">
        <v>32</v>
      </c>
      <c r="K291" t="s">
        <v>2458</v>
      </c>
      <c r="L291" t="s">
        <v>2459</v>
      </c>
      <c r="N291" t="s">
        <v>2460</v>
      </c>
      <c r="P291" t="s">
        <v>1627</v>
      </c>
      <c r="Q291" t="s">
        <v>1628</v>
      </c>
      <c r="R291" t="s">
        <v>36</v>
      </c>
      <c r="S291" t="s">
        <v>2461</v>
      </c>
      <c r="T291" t="s">
        <v>94</v>
      </c>
      <c r="U291">
        <v>46248.568634000003</v>
      </c>
      <c r="V291">
        <v>46297.595636999999</v>
      </c>
      <c r="Y291" t="s">
        <v>58</v>
      </c>
    </row>
    <row r="292" spans="2:25" x14ac:dyDescent="0.25">
      <c r="B292" t="s">
        <v>2462</v>
      </c>
      <c r="C292" t="s">
        <v>2463</v>
      </c>
      <c r="D292" t="s">
        <v>462</v>
      </c>
      <c r="E292">
        <v>2026</v>
      </c>
      <c r="F292" t="s">
        <v>29</v>
      </c>
      <c r="G292" t="s">
        <v>2464</v>
      </c>
      <c r="H292" t="s">
        <v>2465</v>
      </c>
      <c r="I292" t="s">
        <v>2466</v>
      </c>
      <c r="J292" t="s">
        <v>32</v>
      </c>
      <c r="K292" t="s">
        <v>2467</v>
      </c>
      <c r="L292" t="s">
        <v>2468</v>
      </c>
      <c r="N292" t="s">
        <v>2469</v>
      </c>
      <c r="O292" t="s">
        <v>2470</v>
      </c>
      <c r="P292" t="s">
        <v>259</v>
      </c>
      <c r="Q292" t="s">
        <v>470</v>
      </c>
      <c r="R292" t="s">
        <v>36</v>
      </c>
      <c r="S292" t="s">
        <v>37</v>
      </c>
      <c r="T292" t="s">
        <v>94</v>
      </c>
      <c r="U292">
        <v>46248.568634000003</v>
      </c>
      <c r="V292">
        <v>46297.596342999997</v>
      </c>
      <c r="Y292" t="s">
        <v>58</v>
      </c>
    </row>
    <row r="293" spans="2:25" x14ac:dyDescent="0.25">
      <c r="B293" t="s">
        <v>2471</v>
      </c>
      <c r="C293" t="s">
        <v>2472</v>
      </c>
      <c r="D293" t="s">
        <v>2473</v>
      </c>
      <c r="E293">
        <v>2022</v>
      </c>
      <c r="F293" t="s">
        <v>29</v>
      </c>
      <c r="H293" t="s">
        <v>414</v>
      </c>
      <c r="I293" t="s">
        <v>2474</v>
      </c>
      <c r="J293" t="s">
        <v>81</v>
      </c>
      <c r="K293" t="s">
        <v>2475</v>
      </c>
      <c r="L293" t="s">
        <v>2476</v>
      </c>
      <c r="N293" t="s">
        <v>2477</v>
      </c>
      <c r="O293" t="s">
        <v>2478</v>
      </c>
      <c r="P293" t="s">
        <v>259</v>
      </c>
      <c r="Q293" t="s">
        <v>2479</v>
      </c>
      <c r="R293" t="s">
        <v>36</v>
      </c>
      <c r="S293" t="s">
        <v>1443</v>
      </c>
      <c r="T293" t="s">
        <v>94</v>
      </c>
      <c r="U293">
        <v>46248.568634000003</v>
      </c>
      <c r="V293">
        <v>46297.596076000002</v>
      </c>
      <c r="Y293" t="s">
        <v>58</v>
      </c>
    </row>
    <row r="294" spans="2:25" x14ac:dyDescent="0.25">
      <c r="B294" t="s">
        <v>2480</v>
      </c>
      <c r="C294" t="s">
        <v>2481</v>
      </c>
      <c r="D294" t="s">
        <v>2482</v>
      </c>
      <c r="E294">
        <v>2025</v>
      </c>
      <c r="F294" t="s">
        <v>29</v>
      </c>
      <c r="G294" t="s">
        <v>2483</v>
      </c>
      <c r="H294" t="s">
        <v>605</v>
      </c>
      <c r="I294" t="s">
        <v>2484</v>
      </c>
      <c r="J294" t="s">
        <v>81</v>
      </c>
      <c r="K294" t="s">
        <v>2485</v>
      </c>
      <c r="L294" t="s">
        <v>2486</v>
      </c>
      <c r="N294" t="s">
        <v>2487</v>
      </c>
      <c r="P294" t="s">
        <v>2488</v>
      </c>
      <c r="Q294" t="s">
        <v>2489</v>
      </c>
      <c r="R294" t="s">
        <v>36</v>
      </c>
      <c r="S294" t="s">
        <v>422</v>
      </c>
      <c r="T294" t="s">
        <v>94</v>
      </c>
      <c r="U294">
        <v>46248.568634000003</v>
      </c>
      <c r="V294">
        <v>46297.596759</v>
      </c>
      <c r="Y294" t="s">
        <v>58</v>
      </c>
    </row>
    <row r="295" spans="2:25" x14ac:dyDescent="0.25">
      <c r="B295" t="s">
        <v>2490</v>
      </c>
      <c r="C295" t="s">
        <v>2491</v>
      </c>
      <c r="D295" t="s">
        <v>1569</v>
      </c>
      <c r="E295">
        <v>2025</v>
      </c>
      <c r="F295" t="s">
        <v>29</v>
      </c>
      <c r="I295" t="s">
        <v>2492</v>
      </c>
      <c r="J295" t="s">
        <v>32</v>
      </c>
      <c r="K295" t="s">
        <v>2493</v>
      </c>
      <c r="L295" t="s">
        <v>2494</v>
      </c>
      <c r="N295" t="s">
        <v>2495</v>
      </c>
      <c r="O295" t="s">
        <v>2496</v>
      </c>
      <c r="P295" t="s">
        <v>35</v>
      </c>
      <c r="R295" t="s">
        <v>36</v>
      </c>
      <c r="S295" t="s">
        <v>216</v>
      </c>
      <c r="T295" t="s">
        <v>94</v>
      </c>
      <c r="U295">
        <v>46248.568634000003</v>
      </c>
      <c r="V295">
        <v>46297.595890999997</v>
      </c>
      <c r="Y295" t="s">
        <v>58</v>
      </c>
    </row>
    <row r="296" spans="2:25" x14ac:dyDescent="0.25">
      <c r="B296" t="s">
        <v>2497</v>
      </c>
      <c r="C296" t="s">
        <v>2498</v>
      </c>
      <c r="E296">
        <v>2025</v>
      </c>
      <c r="F296" t="s">
        <v>42</v>
      </c>
      <c r="G296" t="s">
        <v>2499</v>
      </c>
      <c r="I296" t="s">
        <v>31</v>
      </c>
      <c r="K296" t="s">
        <v>2500</v>
      </c>
      <c r="L296" t="s">
        <v>2501</v>
      </c>
      <c r="P296" t="s">
        <v>46</v>
      </c>
      <c r="Q296" t="s">
        <v>47</v>
      </c>
      <c r="T296" t="s">
        <v>94</v>
      </c>
      <c r="U296">
        <v>46276.533484</v>
      </c>
      <c r="V296">
        <v>46297.595845000003</v>
      </c>
      <c r="Y296" t="s">
        <v>58</v>
      </c>
    </row>
    <row r="297" spans="2:25" x14ac:dyDescent="0.25">
      <c r="B297" t="s">
        <v>2502</v>
      </c>
      <c r="C297" t="s">
        <v>2503</v>
      </c>
      <c r="D297" t="s">
        <v>2504</v>
      </c>
      <c r="E297">
        <v>2025</v>
      </c>
      <c r="F297" t="s">
        <v>29</v>
      </c>
      <c r="G297" t="s">
        <v>2505</v>
      </c>
      <c r="I297" t="s">
        <v>2506</v>
      </c>
      <c r="J297" t="s">
        <v>32</v>
      </c>
      <c r="K297" t="s">
        <v>2507</v>
      </c>
      <c r="L297" t="s">
        <v>2508</v>
      </c>
      <c r="N297" t="s">
        <v>2509</v>
      </c>
      <c r="O297" t="s">
        <v>2510</v>
      </c>
      <c r="P297" t="s">
        <v>35</v>
      </c>
      <c r="R297" t="s">
        <v>36</v>
      </c>
      <c r="S297" t="s">
        <v>37</v>
      </c>
      <c r="T297" t="s">
        <v>94</v>
      </c>
      <c r="U297">
        <v>46248.568634000003</v>
      </c>
      <c r="V297">
        <v>46297.595046000002</v>
      </c>
      <c r="Y297" t="s">
        <v>58</v>
      </c>
    </row>
    <row r="298" spans="2:25" x14ac:dyDescent="0.25">
      <c r="B298" t="s">
        <v>2511</v>
      </c>
      <c r="C298" t="s">
        <v>2512</v>
      </c>
      <c r="D298" t="s">
        <v>2513</v>
      </c>
      <c r="E298">
        <v>2026</v>
      </c>
      <c r="F298" t="s">
        <v>29</v>
      </c>
      <c r="H298" t="s">
        <v>839</v>
      </c>
      <c r="I298" t="s">
        <v>2514</v>
      </c>
      <c r="J298" t="s">
        <v>81</v>
      </c>
      <c r="K298" t="s">
        <v>2515</v>
      </c>
      <c r="L298" t="s">
        <v>2516</v>
      </c>
      <c r="N298" t="s">
        <v>2517</v>
      </c>
      <c r="O298" t="s">
        <v>2518</v>
      </c>
      <c r="P298" t="s">
        <v>726</v>
      </c>
      <c r="Q298" t="s">
        <v>2519</v>
      </c>
      <c r="R298" t="s">
        <v>36</v>
      </c>
      <c r="S298" t="s">
        <v>422</v>
      </c>
      <c r="T298" t="s">
        <v>94</v>
      </c>
      <c r="U298">
        <v>46248.568634000003</v>
      </c>
      <c r="V298">
        <v>46297.594582999998</v>
      </c>
      <c r="Y298" t="s">
        <v>58</v>
      </c>
    </row>
    <row r="299" spans="2:25" x14ac:dyDescent="0.25">
      <c r="B299" t="s">
        <v>2520</v>
      </c>
      <c r="C299" t="s">
        <v>2521</v>
      </c>
      <c r="D299" t="s">
        <v>2522</v>
      </c>
      <c r="E299">
        <v>2025</v>
      </c>
      <c r="F299" t="s">
        <v>29</v>
      </c>
      <c r="H299" t="s">
        <v>1199</v>
      </c>
      <c r="I299" t="s">
        <v>2523</v>
      </c>
      <c r="J299" t="s">
        <v>81</v>
      </c>
      <c r="K299" t="s">
        <v>2524</v>
      </c>
      <c r="L299" t="s">
        <v>2525</v>
      </c>
      <c r="N299" t="s">
        <v>2526</v>
      </c>
      <c r="O299" t="s">
        <v>2527</v>
      </c>
      <c r="P299" t="s">
        <v>726</v>
      </c>
      <c r="Q299" t="s">
        <v>2528</v>
      </c>
      <c r="R299" t="s">
        <v>36</v>
      </c>
      <c r="S299" t="s">
        <v>590</v>
      </c>
      <c r="T299" t="s">
        <v>94</v>
      </c>
      <c r="U299">
        <v>46248.568634000003</v>
      </c>
      <c r="V299">
        <v>46297.593924000001</v>
      </c>
      <c r="Y299" t="s">
        <v>58</v>
      </c>
    </row>
    <row r="300" spans="2:25" x14ac:dyDescent="0.25">
      <c r="B300" t="s">
        <v>2529</v>
      </c>
      <c r="C300" t="s">
        <v>2530</v>
      </c>
      <c r="D300" t="s">
        <v>2531</v>
      </c>
      <c r="E300">
        <v>2026</v>
      </c>
      <c r="F300" t="s">
        <v>29</v>
      </c>
      <c r="I300" t="s">
        <v>2532</v>
      </c>
      <c r="J300" t="s">
        <v>32</v>
      </c>
      <c r="K300" t="s">
        <v>2533</v>
      </c>
      <c r="L300" t="s">
        <v>2534</v>
      </c>
      <c r="N300" t="s">
        <v>2535</v>
      </c>
      <c r="O300" t="s">
        <v>2536</v>
      </c>
      <c r="P300" t="s">
        <v>35</v>
      </c>
      <c r="R300" t="s">
        <v>36</v>
      </c>
      <c r="S300" t="s">
        <v>37</v>
      </c>
      <c r="T300" t="s">
        <v>94</v>
      </c>
      <c r="U300">
        <v>46248.568634000003</v>
      </c>
      <c r="V300">
        <v>46297.593726999999</v>
      </c>
      <c r="Y300" t="s">
        <v>58</v>
      </c>
    </row>
    <row r="301" spans="2:25" x14ac:dyDescent="0.25">
      <c r="B301" t="s">
        <v>2537</v>
      </c>
      <c r="C301" t="s">
        <v>2538</v>
      </c>
      <c r="E301">
        <v>2026</v>
      </c>
      <c r="F301" t="s">
        <v>230</v>
      </c>
      <c r="G301" t="s">
        <v>2539</v>
      </c>
      <c r="I301" t="s">
        <v>2540</v>
      </c>
      <c r="K301" t="s">
        <v>2541</v>
      </c>
      <c r="L301" t="s">
        <v>2542</v>
      </c>
      <c r="O301" t="s">
        <v>2543</v>
      </c>
      <c r="P301" t="s">
        <v>236</v>
      </c>
      <c r="T301" t="s">
        <v>94</v>
      </c>
      <c r="U301">
        <v>46248.587847000003</v>
      </c>
      <c r="V301">
        <v>46297.591262000002</v>
      </c>
      <c r="Y301" t="s">
        <v>58</v>
      </c>
    </row>
    <row r="302" spans="2:25" x14ac:dyDescent="0.25">
      <c r="B302" t="s">
        <v>2544</v>
      </c>
      <c r="C302" t="s">
        <v>2545</v>
      </c>
      <c r="D302" t="s">
        <v>2546</v>
      </c>
      <c r="E302">
        <v>2024</v>
      </c>
      <c r="F302" t="s">
        <v>29</v>
      </c>
      <c r="I302" t="s">
        <v>2547</v>
      </c>
      <c r="J302" t="s">
        <v>32</v>
      </c>
      <c r="K302" t="s">
        <v>2548</v>
      </c>
      <c r="L302" t="s">
        <v>2549</v>
      </c>
      <c r="N302" t="s">
        <v>2550</v>
      </c>
      <c r="O302" t="s">
        <v>2551</v>
      </c>
      <c r="P302" t="s">
        <v>35</v>
      </c>
      <c r="R302" t="s">
        <v>36</v>
      </c>
      <c r="S302" t="s">
        <v>538</v>
      </c>
      <c r="T302" t="s">
        <v>94</v>
      </c>
      <c r="U302">
        <v>46248.579189999997</v>
      </c>
      <c r="V302">
        <v>46297.591215</v>
      </c>
      <c r="Y302" t="s">
        <v>58</v>
      </c>
    </row>
    <row r="303" spans="2:25" x14ac:dyDescent="0.25">
      <c r="B303" t="s">
        <v>2552</v>
      </c>
      <c r="C303" t="s">
        <v>2553</v>
      </c>
      <c r="D303" t="s">
        <v>2554</v>
      </c>
      <c r="E303">
        <v>2023</v>
      </c>
      <c r="F303" t="s">
        <v>29</v>
      </c>
      <c r="G303" t="s">
        <v>2555</v>
      </c>
      <c r="H303" t="s">
        <v>108</v>
      </c>
      <c r="I303" t="s">
        <v>2556</v>
      </c>
      <c r="J303" t="s">
        <v>81</v>
      </c>
      <c r="K303" t="s">
        <v>2557</v>
      </c>
      <c r="L303" t="s">
        <v>2558</v>
      </c>
      <c r="N303" t="s">
        <v>2559</v>
      </c>
      <c r="P303" t="s">
        <v>2560</v>
      </c>
      <c r="Q303" t="s">
        <v>2561</v>
      </c>
      <c r="R303" t="s">
        <v>36</v>
      </c>
      <c r="S303" t="s">
        <v>1137</v>
      </c>
      <c r="T303" t="s">
        <v>94</v>
      </c>
      <c r="U303">
        <v>46248.568634000003</v>
      </c>
      <c r="V303">
        <v>46297.590729000003</v>
      </c>
      <c r="Y303" t="s">
        <v>58</v>
      </c>
    </row>
    <row r="304" spans="2:25" x14ac:dyDescent="0.25">
      <c r="B304" t="s">
        <v>2562</v>
      </c>
      <c r="C304" t="s">
        <v>2563</v>
      </c>
      <c r="D304" t="s">
        <v>2564</v>
      </c>
      <c r="E304">
        <v>2025</v>
      </c>
      <c r="F304" t="s">
        <v>29</v>
      </c>
      <c r="G304" t="s">
        <v>2565</v>
      </c>
      <c r="I304" t="s">
        <v>2566</v>
      </c>
      <c r="J304" t="s">
        <v>32</v>
      </c>
      <c r="K304" t="s">
        <v>2567</v>
      </c>
      <c r="L304" t="s">
        <v>2568</v>
      </c>
      <c r="N304" t="s">
        <v>2569</v>
      </c>
      <c r="O304" t="s">
        <v>2570</v>
      </c>
      <c r="P304" t="s">
        <v>1033</v>
      </c>
      <c r="R304" t="s">
        <v>36</v>
      </c>
      <c r="S304" t="s">
        <v>422</v>
      </c>
      <c r="T304" t="s">
        <v>94</v>
      </c>
      <c r="U304">
        <v>46248.568646</v>
      </c>
      <c r="V304">
        <v>46297.593437000003</v>
      </c>
      <c r="Y304" t="s">
        <v>58</v>
      </c>
    </row>
    <row r="305" spans="2:25" x14ac:dyDescent="0.25">
      <c r="B305" t="s">
        <v>2571</v>
      </c>
      <c r="C305" t="s">
        <v>2572</v>
      </c>
      <c r="D305" t="s">
        <v>441</v>
      </c>
      <c r="E305">
        <v>2025</v>
      </c>
      <c r="F305" t="s">
        <v>29</v>
      </c>
      <c r="G305" t="s">
        <v>2573</v>
      </c>
      <c r="I305" t="s">
        <v>2574</v>
      </c>
      <c r="J305" t="s">
        <v>32</v>
      </c>
      <c r="K305" t="s">
        <v>2575</v>
      </c>
      <c r="L305" t="s">
        <v>2576</v>
      </c>
      <c r="N305" t="s">
        <v>2577</v>
      </c>
      <c r="P305" t="s">
        <v>214</v>
      </c>
      <c r="Q305" t="s">
        <v>447</v>
      </c>
      <c r="R305" t="s">
        <v>36</v>
      </c>
      <c r="S305" t="s">
        <v>37</v>
      </c>
      <c r="T305" t="s">
        <v>94</v>
      </c>
      <c r="U305">
        <v>46248.568646</v>
      </c>
      <c r="V305">
        <v>46297.590670999998</v>
      </c>
      <c r="Y305" t="s">
        <v>58</v>
      </c>
    </row>
    <row r="306" spans="2:25" x14ac:dyDescent="0.25">
      <c r="B306" t="s">
        <v>2578</v>
      </c>
      <c r="C306" t="s">
        <v>2579</v>
      </c>
      <c r="D306" t="s">
        <v>2580</v>
      </c>
      <c r="E306">
        <v>2023</v>
      </c>
      <c r="F306" t="s">
        <v>29</v>
      </c>
      <c r="H306" t="s">
        <v>108</v>
      </c>
      <c r="I306" t="s">
        <v>2581</v>
      </c>
      <c r="J306" t="s">
        <v>81</v>
      </c>
      <c r="K306" t="s">
        <v>2582</v>
      </c>
      <c r="L306" t="s">
        <v>2583</v>
      </c>
      <c r="N306" t="s">
        <v>2584</v>
      </c>
      <c r="P306" t="s">
        <v>558</v>
      </c>
      <c r="Q306" t="s">
        <v>2585</v>
      </c>
      <c r="R306" t="s">
        <v>36</v>
      </c>
      <c r="S306" t="s">
        <v>2586</v>
      </c>
      <c r="T306" t="s">
        <v>94</v>
      </c>
      <c r="U306">
        <v>46248.568646</v>
      </c>
      <c r="V306">
        <v>46297.590497999998</v>
      </c>
      <c r="Y306" t="s">
        <v>58</v>
      </c>
    </row>
    <row r="307" spans="2:25" x14ac:dyDescent="0.25">
      <c r="B307" t="s">
        <v>2587</v>
      </c>
      <c r="C307" t="s">
        <v>2588</v>
      </c>
      <c r="D307" t="s">
        <v>1209</v>
      </c>
      <c r="E307">
        <v>2025</v>
      </c>
      <c r="F307" t="s">
        <v>29</v>
      </c>
      <c r="G307" t="s">
        <v>2589</v>
      </c>
      <c r="H307" t="s">
        <v>391</v>
      </c>
      <c r="I307" t="s">
        <v>2590</v>
      </c>
      <c r="J307" t="s">
        <v>81</v>
      </c>
      <c r="K307" t="s">
        <v>2591</v>
      </c>
      <c r="L307" t="s">
        <v>2592</v>
      </c>
      <c r="N307" t="s">
        <v>2593</v>
      </c>
      <c r="O307" t="s">
        <v>2594</v>
      </c>
      <c r="P307" t="s">
        <v>35</v>
      </c>
      <c r="Q307" t="s">
        <v>1216</v>
      </c>
      <c r="R307" t="s">
        <v>36</v>
      </c>
      <c r="S307" t="s">
        <v>940</v>
      </c>
      <c r="T307" t="s">
        <v>94</v>
      </c>
      <c r="U307">
        <v>46248.568646</v>
      </c>
      <c r="V307">
        <v>46297.590255000003</v>
      </c>
      <c r="Y307" t="s">
        <v>58</v>
      </c>
    </row>
    <row r="308" spans="2:25" x14ac:dyDescent="0.25">
      <c r="B308" t="s">
        <v>2595</v>
      </c>
      <c r="C308" t="s">
        <v>2596</v>
      </c>
      <c r="E308">
        <v>2023</v>
      </c>
      <c r="F308" t="s">
        <v>42</v>
      </c>
      <c r="G308" t="s">
        <v>2597</v>
      </c>
      <c r="I308" t="s">
        <v>31</v>
      </c>
      <c r="K308" t="s">
        <v>2598</v>
      </c>
      <c r="L308" t="s">
        <v>2599</v>
      </c>
      <c r="P308" t="s">
        <v>46</v>
      </c>
      <c r="Q308" t="s">
        <v>47</v>
      </c>
      <c r="T308" t="s">
        <v>94</v>
      </c>
      <c r="U308">
        <v>46276.551389</v>
      </c>
      <c r="V308">
        <v>46297.595809999999</v>
      </c>
      <c r="Y308" t="s">
        <v>58</v>
      </c>
    </row>
    <row r="309" spans="2:25" x14ac:dyDescent="0.25">
      <c r="B309" t="s">
        <v>2600</v>
      </c>
      <c r="C309" t="s">
        <v>2601</v>
      </c>
      <c r="D309" t="s">
        <v>2602</v>
      </c>
      <c r="E309">
        <v>2026</v>
      </c>
      <c r="F309" t="s">
        <v>29</v>
      </c>
      <c r="G309" t="s">
        <v>2603</v>
      </c>
      <c r="I309" t="s">
        <v>31</v>
      </c>
      <c r="J309" t="s">
        <v>32</v>
      </c>
      <c r="K309" t="s">
        <v>2604</v>
      </c>
      <c r="L309" t="s">
        <v>2605</v>
      </c>
      <c r="P309" t="s">
        <v>35</v>
      </c>
      <c r="R309" t="s">
        <v>36</v>
      </c>
      <c r="S309" t="s">
        <v>37</v>
      </c>
      <c r="T309" t="s">
        <v>94</v>
      </c>
      <c r="U309">
        <v>46276.582163999999</v>
      </c>
      <c r="V309">
        <v>46297.595763999998</v>
      </c>
      <c r="Y309" t="s">
        <v>58</v>
      </c>
    </row>
    <row r="310" spans="2:25" x14ac:dyDescent="0.25">
      <c r="B310" t="s">
        <v>2606</v>
      </c>
      <c r="C310" t="s">
        <v>2607</v>
      </c>
      <c r="D310" t="s">
        <v>401</v>
      </c>
      <c r="E310">
        <v>2026</v>
      </c>
      <c r="F310" t="s">
        <v>29</v>
      </c>
      <c r="G310" t="s">
        <v>2608</v>
      </c>
      <c r="H310" t="s">
        <v>2609</v>
      </c>
      <c r="I310" t="s">
        <v>2610</v>
      </c>
      <c r="J310" t="s">
        <v>32</v>
      </c>
      <c r="K310" t="s">
        <v>2611</v>
      </c>
      <c r="L310" t="s">
        <v>2612</v>
      </c>
      <c r="N310" t="s">
        <v>2613</v>
      </c>
      <c r="O310" t="s">
        <v>2614</v>
      </c>
      <c r="P310" t="s">
        <v>259</v>
      </c>
      <c r="Q310" t="s">
        <v>409</v>
      </c>
      <c r="R310" t="s">
        <v>36</v>
      </c>
      <c r="S310" t="s">
        <v>37</v>
      </c>
      <c r="T310" t="s">
        <v>94</v>
      </c>
      <c r="U310">
        <v>46248.568634000003</v>
      </c>
      <c r="V310">
        <v>46297.589490999999</v>
      </c>
      <c r="Y310" t="s">
        <v>58</v>
      </c>
    </row>
    <row r="311" spans="2:25" x14ac:dyDescent="0.25">
      <c r="B311" t="s">
        <v>2615</v>
      </c>
      <c r="C311" t="s">
        <v>2616</v>
      </c>
      <c r="D311" t="s">
        <v>2513</v>
      </c>
      <c r="E311">
        <v>2025</v>
      </c>
      <c r="F311" t="s">
        <v>29</v>
      </c>
      <c r="H311" t="s">
        <v>2617</v>
      </c>
      <c r="I311" t="s">
        <v>2618</v>
      </c>
      <c r="J311" t="s">
        <v>81</v>
      </c>
      <c r="K311" t="s">
        <v>2619</v>
      </c>
      <c r="L311" t="s">
        <v>2620</v>
      </c>
      <c r="N311" t="s">
        <v>2621</v>
      </c>
      <c r="O311" t="s">
        <v>2622</v>
      </c>
      <c r="P311" t="s">
        <v>726</v>
      </c>
      <c r="Q311" t="s">
        <v>2519</v>
      </c>
      <c r="R311" t="s">
        <v>36</v>
      </c>
      <c r="S311" t="s">
        <v>590</v>
      </c>
      <c r="T311" t="s">
        <v>94</v>
      </c>
      <c r="U311">
        <v>46248.568634000003</v>
      </c>
      <c r="V311">
        <v>46297.596030000001</v>
      </c>
      <c r="Y311" t="s">
        <v>58</v>
      </c>
    </row>
    <row r="312" spans="2:25" x14ac:dyDescent="0.25">
      <c r="B312" t="s">
        <v>2623</v>
      </c>
      <c r="C312" t="s">
        <v>2624</v>
      </c>
      <c r="D312" t="s">
        <v>2625</v>
      </c>
      <c r="E312">
        <v>2024</v>
      </c>
      <c r="F312" t="s">
        <v>29</v>
      </c>
      <c r="G312" t="s">
        <v>2626</v>
      </c>
      <c r="H312" t="s">
        <v>1069</v>
      </c>
      <c r="I312" t="s">
        <v>2627</v>
      </c>
      <c r="J312" t="s">
        <v>81</v>
      </c>
      <c r="K312" t="s">
        <v>2628</v>
      </c>
      <c r="L312" t="s">
        <v>2629</v>
      </c>
      <c r="O312" t="s">
        <v>2630</v>
      </c>
      <c r="P312" t="s">
        <v>2631</v>
      </c>
      <c r="Q312" t="s">
        <v>2632</v>
      </c>
      <c r="R312" t="s">
        <v>36</v>
      </c>
      <c r="S312" t="s">
        <v>2633</v>
      </c>
      <c r="T312" t="s">
        <v>94</v>
      </c>
      <c r="U312">
        <v>46248.568634000003</v>
      </c>
      <c r="V312">
        <v>46297.595984</v>
      </c>
      <c r="Y312" t="s">
        <v>58</v>
      </c>
    </row>
    <row r="313" spans="2:25" x14ac:dyDescent="0.25">
      <c r="B313" t="s">
        <v>2634</v>
      </c>
      <c r="C313" t="s">
        <v>2635</v>
      </c>
      <c r="D313" t="s">
        <v>355</v>
      </c>
      <c r="E313">
        <v>2024</v>
      </c>
      <c r="F313" t="s">
        <v>29</v>
      </c>
      <c r="G313" t="s">
        <v>2636</v>
      </c>
      <c r="H313" t="s">
        <v>99</v>
      </c>
      <c r="I313" t="s">
        <v>2637</v>
      </c>
      <c r="J313" t="s">
        <v>81</v>
      </c>
      <c r="K313" t="s">
        <v>2638</v>
      </c>
      <c r="L313" t="s">
        <v>2639</v>
      </c>
      <c r="N313" t="s">
        <v>2640</v>
      </c>
      <c r="P313" t="s">
        <v>355</v>
      </c>
      <c r="Q313" t="s">
        <v>361</v>
      </c>
      <c r="R313" t="s">
        <v>36</v>
      </c>
      <c r="S313" t="s">
        <v>2641</v>
      </c>
      <c r="T313" t="s">
        <v>94</v>
      </c>
      <c r="U313">
        <v>46248.568646</v>
      </c>
      <c r="V313">
        <v>46297.595926000002</v>
      </c>
      <c r="Y313" t="s">
        <v>58</v>
      </c>
    </row>
    <row r="314" spans="2:25" x14ac:dyDescent="0.25">
      <c r="B314" t="s">
        <v>2642</v>
      </c>
      <c r="C314" t="s">
        <v>2643</v>
      </c>
      <c r="D314" t="s">
        <v>2644</v>
      </c>
      <c r="E314">
        <v>2024</v>
      </c>
      <c r="F314" t="s">
        <v>29</v>
      </c>
      <c r="G314" t="s">
        <v>2645</v>
      </c>
      <c r="H314" t="s">
        <v>839</v>
      </c>
      <c r="I314" t="s">
        <v>2646</v>
      </c>
      <c r="J314" t="s">
        <v>81</v>
      </c>
      <c r="K314" t="s">
        <v>2647</v>
      </c>
      <c r="L314" t="s">
        <v>2648</v>
      </c>
      <c r="N314" t="s">
        <v>2649</v>
      </c>
      <c r="O314" t="s">
        <v>2650</v>
      </c>
      <c r="P314" t="s">
        <v>102</v>
      </c>
      <c r="Q314" t="s">
        <v>2651</v>
      </c>
      <c r="R314" t="s">
        <v>36</v>
      </c>
      <c r="S314" t="s">
        <v>216</v>
      </c>
      <c r="T314" t="s">
        <v>94</v>
      </c>
      <c r="U314">
        <v>46248.568634000003</v>
      </c>
      <c r="V314">
        <v>46297.596123000003</v>
      </c>
      <c r="Y314" t="s">
        <v>58</v>
      </c>
    </row>
    <row r="315" spans="2:25" x14ac:dyDescent="0.25">
      <c r="B315" t="s">
        <v>2652</v>
      </c>
      <c r="C315" t="s">
        <v>2653</v>
      </c>
      <c r="D315" t="s">
        <v>1390</v>
      </c>
      <c r="E315">
        <v>2024</v>
      </c>
      <c r="F315" t="s">
        <v>29</v>
      </c>
      <c r="G315" t="s">
        <v>2654</v>
      </c>
      <c r="H315" t="s">
        <v>209</v>
      </c>
      <c r="I315" t="s">
        <v>2655</v>
      </c>
      <c r="J315" t="s">
        <v>81</v>
      </c>
      <c r="K315" t="s">
        <v>2656</v>
      </c>
      <c r="L315" t="s">
        <v>2657</v>
      </c>
      <c r="N315" t="s">
        <v>2658</v>
      </c>
      <c r="P315" t="s">
        <v>1396</v>
      </c>
      <c r="Q315" t="s">
        <v>1397</v>
      </c>
      <c r="R315" t="s">
        <v>36</v>
      </c>
      <c r="S315" t="s">
        <v>590</v>
      </c>
      <c r="T315" t="s">
        <v>94</v>
      </c>
      <c r="U315">
        <v>46248.568634000003</v>
      </c>
      <c r="V315">
        <v>46297.596296000003</v>
      </c>
      <c r="Y315" t="s">
        <v>58</v>
      </c>
    </row>
    <row r="316" spans="2:25" x14ac:dyDescent="0.25">
      <c r="B316" t="s">
        <v>2659</v>
      </c>
      <c r="C316" t="s">
        <v>2660</v>
      </c>
      <c r="D316" t="s">
        <v>1560</v>
      </c>
      <c r="E316">
        <v>2023</v>
      </c>
      <c r="F316" t="s">
        <v>29</v>
      </c>
      <c r="G316" t="s">
        <v>2661</v>
      </c>
      <c r="H316" t="s">
        <v>155</v>
      </c>
      <c r="I316" t="s">
        <v>2662</v>
      </c>
      <c r="J316" t="s">
        <v>81</v>
      </c>
      <c r="K316" t="s">
        <v>2663</v>
      </c>
      <c r="L316" t="s">
        <v>2664</v>
      </c>
      <c r="N316" t="s">
        <v>2665</v>
      </c>
      <c r="P316" t="s">
        <v>1565</v>
      </c>
      <c r="Q316" t="s">
        <v>1566</v>
      </c>
      <c r="R316" t="s">
        <v>36</v>
      </c>
      <c r="S316" t="s">
        <v>2666</v>
      </c>
      <c r="T316" t="s">
        <v>94</v>
      </c>
      <c r="U316">
        <v>46248.568634000003</v>
      </c>
      <c r="V316">
        <v>46297.596261999999</v>
      </c>
      <c r="Y316" t="s">
        <v>58</v>
      </c>
    </row>
    <row r="317" spans="2:25" x14ac:dyDescent="0.25">
      <c r="B317" t="s">
        <v>2667</v>
      </c>
      <c r="C317" t="s">
        <v>2668</v>
      </c>
      <c r="D317" t="s">
        <v>2669</v>
      </c>
      <c r="E317">
        <v>2023</v>
      </c>
      <c r="F317" t="s">
        <v>29</v>
      </c>
      <c r="G317" t="s">
        <v>2670</v>
      </c>
      <c r="H317" t="s">
        <v>2671</v>
      </c>
      <c r="I317" t="s">
        <v>2672</v>
      </c>
      <c r="J317" t="s">
        <v>81</v>
      </c>
      <c r="K317" t="s">
        <v>2673</v>
      </c>
      <c r="L317" t="s">
        <v>2674</v>
      </c>
      <c r="N317" t="s">
        <v>2675</v>
      </c>
      <c r="O317" t="s">
        <v>2676</v>
      </c>
      <c r="P317" t="s">
        <v>632</v>
      </c>
      <c r="Q317" t="s">
        <v>2677</v>
      </c>
      <c r="R317" t="s">
        <v>36</v>
      </c>
      <c r="S317" t="s">
        <v>261</v>
      </c>
      <c r="T317" t="s">
        <v>94</v>
      </c>
      <c r="U317">
        <v>46248.568634000003</v>
      </c>
      <c r="V317">
        <v>46297.596214999998</v>
      </c>
      <c r="Y317" t="s">
        <v>58</v>
      </c>
    </row>
    <row r="318" spans="2:25" x14ac:dyDescent="0.25">
      <c r="B318" t="s">
        <v>2678</v>
      </c>
      <c r="C318" t="s">
        <v>2679</v>
      </c>
      <c r="D318" t="s">
        <v>401</v>
      </c>
      <c r="E318">
        <v>2024</v>
      </c>
      <c r="F318" t="s">
        <v>29</v>
      </c>
      <c r="G318" t="s">
        <v>2680</v>
      </c>
      <c r="H318" t="s">
        <v>2681</v>
      </c>
      <c r="I318" t="s">
        <v>2682</v>
      </c>
      <c r="J318" t="s">
        <v>32</v>
      </c>
      <c r="K318" t="s">
        <v>2683</v>
      </c>
      <c r="L318" t="s">
        <v>2684</v>
      </c>
      <c r="N318" t="s">
        <v>2685</v>
      </c>
      <c r="O318" t="s">
        <v>2686</v>
      </c>
      <c r="P318" t="s">
        <v>259</v>
      </c>
      <c r="Q318" t="s">
        <v>409</v>
      </c>
      <c r="R318" t="s">
        <v>36</v>
      </c>
      <c r="S318" t="s">
        <v>261</v>
      </c>
      <c r="T318" t="s">
        <v>94</v>
      </c>
      <c r="U318">
        <v>46248.568634000003</v>
      </c>
      <c r="V318">
        <v>46297.596377000002</v>
      </c>
      <c r="Y318" t="s">
        <v>58</v>
      </c>
    </row>
    <row r="319" spans="2:25" x14ac:dyDescent="0.25">
      <c r="B319" t="s">
        <v>2687</v>
      </c>
      <c r="C319" t="s">
        <v>2688</v>
      </c>
      <c r="D319" t="s">
        <v>2689</v>
      </c>
      <c r="E319">
        <v>2025</v>
      </c>
      <c r="F319" t="s">
        <v>29</v>
      </c>
      <c r="G319" t="s">
        <v>2690</v>
      </c>
      <c r="I319" t="s">
        <v>2691</v>
      </c>
      <c r="J319" t="s">
        <v>32</v>
      </c>
      <c r="K319" t="s">
        <v>2692</v>
      </c>
      <c r="L319" t="s">
        <v>2693</v>
      </c>
      <c r="N319" t="s">
        <v>2694</v>
      </c>
      <c r="O319" t="s">
        <v>2695</v>
      </c>
      <c r="P319" t="s">
        <v>1033</v>
      </c>
      <c r="R319" t="s">
        <v>36</v>
      </c>
      <c r="S319" t="s">
        <v>422</v>
      </c>
      <c r="T319" t="s">
        <v>94</v>
      </c>
      <c r="U319">
        <v>46248.568646</v>
      </c>
      <c r="V319">
        <v>46297.596458</v>
      </c>
      <c r="Y319" t="s">
        <v>58</v>
      </c>
    </row>
    <row r="320" spans="2:25" x14ac:dyDescent="0.25">
      <c r="B320" t="s">
        <v>2696</v>
      </c>
      <c r="C320" t="s">
        <v>2697</v>
      </c>
      <c r="D320" t="s">
        <v>2698</v>
      </c>
      <c r="E320">
        <v>2026</v>
      </c>
      <c r="F320" t="s">
        <v>29</v>
      </c>
      <c r="H320" t="s">
        <v>191</v>
      </c>
      <c r="I320" t="s">
        <v>2699</v>
      </c>
      <c r="J320" t="s">
        <v>81</v>
      </c>
      <c r="K320" t="s">
        <v>2700</v>
      </c>
      <c r="L320" t="s">
        <v>2701</v>
      </c>
      <c r="N320" t="s">
        <v>2702</v>
      </c>
      <c r="O320" t="s">
        <v>2703</v>
      </c>
      <c r="P320" t="s">
        <v>236</v>
      </c>
      <c r="Q320" t="s">
        <v>2704</v>
      </c>
      <c r="R320" t="s">
        <v>36</v>
      </c>
      <c r="S320" t="s">
        <v>37</v>
      </c>
      <c r="T320" t="s">
        <v>94</v>
      </c>
      <c r="U320">
        <v>46248.568646</v>
      </c>
      <c r="V320">
        <v>46297.596725000003</v>
      </c>
      <c r="Y320" t="s">
        <v>58</v>
      </c>
    </row>
    <row r="321" spans="2:25" x14ac:dyDescent="0.25">
      <c r="B321" t="s">
        <v>2705</v>
      </c>
      <c r="C321" t="s">
        <v>2706</v>
      </c>
      <c r="D321" t="s">
        <v>2707</v>
      </c>
      <c r="E321">
        <v>2025</v>
      </c>
      <c r="F321" t="s">
        <v>29</v>
      </c>
      <c r="I321" t="s">
        <v>2708</v>
      </c>
      <c r="J321" t="s">
        <v>32</v>
      </c>
      <c r="K321" t="s">
        <v>2709</v>
      </c>
      <c r="L321" t="s">
        <v>2710</v>
      </c>
      <c r="N321" t="s">
        <v>2711</v>
      </c>
      <c r="O321" t="s">
        <v>2712</v>
      </c>
      <c r="P321" t="s">
        <v>35</v>
      </c>
      <c r="R321" t="s">
        <v>36</v>
      </c>
      <c r="S321" t="s">
        <v>37</v>
      </c>
      <c r="T321" t="s">
        <v>94</v>
      </c>
      <c r="U321">
        <v>46248.568646</v>
      </c>
      <c r="V321">
        <v>46297.596678000002</v>
      </c>
      <c r="Y321" t="s">
        <v>58</v>
      </c>
    </row>
    <row r="322" spans="2:25" x14ac:dyDescent="0.25">
      <c r="B322" t="s">
        <v>2713</v>
      </c>
      <c r="C322" t="s">
        <v>2714</v>
      </c>
      <c r="D322" t="s">
        <v>2715</v>
      </c>
      <c r="E322">
        <v>2025</v>
      </c>
      <c r="F322" t="s">
        <v>29</v>
      </c>
      <c r="G322" t="s">
        <v>2716</v>
      </c>
      <c r="I322" t="s">
        <v>2717</v>
      </c>
      <c r="J322" t="s">
        <v>32</v>
      </c>
      <c r="K322" t="s">
        <v>2718</v>
      </c>
      <c r="L322" t="s">
        <v>2719</v>
      </c>
      <c r="N322" t="s">
        <v>2720</v>
      </c>
      <c r="O322" t="s">
        <v>2721</v>
      </c>
      <c r="P322" t="s">
        <v>35</v>
      </c>
      <c r="R322" t="s">
        <v>36</v>
      </c>
      <c r="S322" t="s">
        <v>37</v>
      </c>
      <c r="T322" t="s">
        <v>94</v>
      </c>
      <c r="U322">
        <v>46248.568646</v>
      </c>
      <c r="V322">
        <v>46297.596643999997</v>
      </c>
      <c r="Y322" t="s">
        <v>58</v>
      </c>
    </row>
    <row r="323" spans="2:25" x14ac:dyDescent="0.25">
      <c r="B323" t="s">
        <v>2722</v>
      </c>
      <c r="C323" t="s">
        <v>2723</v>
      </c>
      <c r="D323" t="s">
        <v>2724</v>
      </c>
      <c r="E323">
        <v>2026</v>
      </c>
      <c r="F323" t="s">
        <v>29</v>
      </c>
      <c r="I323" t="s">
        <v>2725</v>
      </c>
      <c r="J323" t="s">
        <v>32</v>
      </c>
      <c r="K323" t="s">
        <v>2726</v>
      </c>
      <c r="L323" t="s">
        <v>2727</v>
      </c>
      <c r="N323" t="s">
        <v>2728</v>
      </c>
      <c r="O323" t="s">
        <v>2729</v>
      </c>
      <c r="P323" t="s">
        <v>236</v>
      </c>
      <c r="R323" t="s">
        <v>36</v>
      </c>
      <c r="S323" t="s">
        <v>422</v>
      </c>
      <c r="T323" t="s">
        <v>94</v>
      </c>
      <c r="U323">
        <v>46248.568646</v>
      </c>
      <c r="V323">
        <v>46297.596609</v>
      </c>
      <c r="Y323" t="s">
        <v>58</v>
      </c>
    </row>
    <row r="324" spans="2:25" x14ac:dyDescent="0.25">
      <c r="B324" t="s">
        <v>2730</v>
      </c>
      <c r="C324" t="s">
        <v>2731</v>
      </c>
      <c r="D324" t="s">
        <v>2732</v>
      </c>
      <c r="E324">
        <v>2024</v>
      </c>
      <c r="F324" t="s">
        <v>29</v>
      </c>
      <c r="G324" t="s">
        <v>2733</v>
      </c>
      <c r="I324" t="s">
        <v>2734</v>
      </c>
      <c r="J324" t="s">
        <v>32</v>
      </c>
      <c r="K324" t="s">
        <v>2735</v>
      </c>
      <c r="L324" t="s">
        <v>2736</v>
      </c>
      <c r="N324" t="s">
        <v>2737</v>
      </c>
      <c r="O324" t="s">
        <v>2738</v>
      </c>
      <c r="P324" t="s">
        <v>35</v>
      </c>
      <c r="R324" t="s">
        <v>36</v>
      </c>
      <c r="S324" t="s">
        <v>248</v>
      </c>
      <c r="T324" t="s">
        <v>94</v>
      </c>
      <c r="U324">
        <v>46248.568646</v>
      </c>
      <c r="V324">
        <v>46297.596887</v>
      </c>
      <c r="Y324" t="s">
        <v>58</v>
      </c>
    </row>
    <row r="325" spans="2:25" x14ac:dyDescent="0.25">
      <c r="B325" t="s">
        <v>2739</v>
      </c>
      <c r="C325" t="s">
        <v>2740</v>
      </c>
      <c r="D325" t="s">
        <v>196</v>
      </c>
      <c r="E325">
        <v>2026</v>
      </c>
      <c r="F325" t="s">
        <v>29</v>
      </c>
      <c r="H325" t="s">
        <v>2741</v>
      </c>
      <c r="I325" t="s">
        <v>2742</v>
      </c>
      <c r="J325" t="s">
        <v>81</v>
      </c>
      <c r="K325" t="s">
        <v>2743</v>
      </c>
      <c r="L325" t="s">
        <v>2744</v>
      </c>
      <c r="N325" t="s">
        <v>2745</v>
      </c>
      <c r="O325" t="s">
        <v>2746</v>
      </c>
      <c r="P325" t="s">
        <v>120</v>
      </c>
      <c r="Q325" t="s">
        <v>203</v>
      </c>
      <c r="R325" t="s">
        <v>36</v>
      </c>
      <c r="S325" t="s">
        <v>2747</v>
      </c>
      <c r="T325" t="s">
        <v>94</v>
      </c>
      <c r="U325">
        <v>46248.568634000003</v>
      </c>
      <c r="V325">
        <v>46297.596839999998</v>
      </c>
      <c r="Y325" t="s">
        <v>58</v>
      </c>
    </row>
    <row r="326" spans="2:25" x14ac:dyDescent="0.25">
      <c r="B326" t="s">
        <v>2748</v>
      </c>
      <c r="C326" t="s">
        <v>2749</v>
      </c>
      <c r="D326" t="s">
        <v>1516</v>
      </c>
      <c r="E326">
        <v>2026</v>
      </c>
      <c r="F326" t="s">
        <v>29</v>
      </c>
      <c r="G326" t="s">
        <v>2750</v>
      </c>
      <c r="H326" t="s">
        <v>414</v>
      </c>
      <c r="I326" t="s">
        <v>2751</v>
      </c>
      <c r="J326" t="s">
        <v>81</v>
      </c>
      <c r="K326" t="s">
        <v>2752</v>
      </c>
      <c r="L326" t="s">
        <v>2753</v>
      </c>
      <c r="N326" t="s">
        <v>2754</v>
      </c>
      <c r="P326" t="s">
        <v>1522</v>
      </c>
      <c r="Q326" t="s">
        <v>1523</v>
      </c>
      <c r="R326" t="s">
        <v>36</v>
      </c>
      <c r="S326" t="s">
        <v>422</v>
      </c>
      <c r="T326" t="s">
        <v>94</v>
      </c>
      <c r="U326">
        <v>46248.568634000003</v>
      </c>
      <c r="V326">
        <v>46297.596806000001</v>
      </c>
      <c r="Y326" t="s">
        <v>58</v>
      </c>
    </row>
    <row r="327" spans="2:25" x14ac:dyDescent="0.25">
      <c r="B327" t="s">
        <v>2755</v>
      </c>
      <c r="C327" t="s">
        <v>2756</v>
      </c>
      <c r="D327" t="s">
        <v>2757</v>
      </c>
      <c r="E327">
        <v>2023</v>
      </c>
      <c r="F327" t="s">
        <v>29</v>
      </c>
      <c r="G327" t="s">
        <v>2758</v>
      </c>
      <c r="H327" t="s">
        <v>1199</v>
      </c>
      <c r="I327" t="s">
        <v>2759</v>
      </c>
      <c r="J327" t="s">
        <v>81</v>
      </c>
      <c r="K327" t="s">
        <v>2760</v>
      </c>
      <c r="L327" t="s">
        <v>2761</v>
      </c>
      <c r="N327" t="s">
        <v>2762</v>
      </c>
      <c r="P327" t="s">
        <v>2763</v>
      </c>
      <c r="Q327" t="s">
        <v>2764</v>
      </c>
      <c r="R327" t="s">
        <v>36</v>
      </c>
      <c r="S327" t="s">
        <v>660</v>
      </c>
      <c r="T327" t="s">
        <v>94</v>
      </c>
      <c r="U327">
        <v>46248.568634000003</v>
      </c>
      <c r="V327">
        <v>46297.597211</v>
      </c>
      <c r="Y327" t="s">
        <v>58</v>
      </c>
    </row>
    <row r="328" spans="2:25" x14ac:dyDescent="0.25">
      <c r="B328" t="s">
        <v>2765</v>
      </c>
      <c r="C328" t="s">
        <v>2766</v>
      </c>
      <c r="D328" t="s">
        <v>2767</v>
      </c>
      <c r="E328">
        <v>2026</v>
      </c>
      <c r="F328" t="s">
        <v>29</v>
      </c>
      <c r="G328" t="s">
        <v>2768</v>
      </c>
      <c r="I328" t="s">
        <v>31</v>
      </c>
      <c r="J328" t="s">
        <v>32</v>
      </c>
      <c r="K328" t="s">
        <v>2769</v>
      </c>
      <c r="L328" t="s">
        <v>2770</v>
      </c>
      <c r="P328" t="s">
        <v>35</v>
      </c>
      <c r="R328" t="s">
        <v>36</v>
      </c>
      <c r="S328" t="s">
        <v>37</v>
      </c>
      <c r="T328" t="s">
        <v>94</v>
      </c>
      <c r="U328">
        <v>46276.582048999997</v>
      </c>
      <c r="V328">
        <v>46297.597140999998</v>
      </c>
      <c r="Y328" t="s">
        <v>58</v>
      </c>
    </row>
    <row r="329" spans="2:25" x14ac:dyDescent="0.25">
      <c r="B329" t="s">
        <v>2771</v>
      </c>
      <c r="C329" t="s">
        <v>2772</v>
      </c>
      <c r="D329" t="s">
        <v>1102</v>
      </c>
      <c r="E329">
        <v>2026</v>
      </c>
      <c r="F329" t="s">
        <v>29</v>
      </c>
      <c r="H329" t="s">
        <v>552</v>
      </c>
      <c r="I329" t="s">
        <v>2773</v>
      </c>
      <c r="J329" t="s">
        <v>81</v>
      </c>
      <c r="K329" t="s">
        <v>2774</v>
      </c>
      <c r="L329" t="s">
        <v>2775</v>
      </c>
      <c r="N329" t="s">
        <v>2776</v>
      </c>
      <c r="O329" t="s">
        <v>2777</v>
      </c>
      <c r="P329" t="s">
        <v>1108</v>
      </c>
      <c r="Q329" t="s">
        <v>1109</v>
      </c>
      <c r="R329" t="s">
        <v>36</v>
      </c>
      <c r="S329" t="s">
        <v>227</v>
      </c>
      <c r="T329" t="s">
        <v>94</v>
      </c>
      <c r="U329">
        <v>46248.568646</v>
      </c>
      <c r="V329">
        <v>46297.596990999999</v>
      </c>
      <c r="Y329" t="s">
        <v>58</v>
      </c>
    </row>
    <row r="330" spans="2:25" x14ac:dyDescent="0.25">
      <c r="B330" t="s">
        <v>2778</v>
      </c>
      <c r="C330" t="s">
        <v>2779</v>
      </c>
      <c r="D330" t="s">
        <v>2780</v>
      </c>
      <c r="E330">
        <v>2024</v>
      </c>
      <c r="F330" t="s">
        <v>29</v>
      </c>
      <c r="G330" t="s">
        <v>2781</v>
      </c>
      <c r="I330" t="s">
        <v>2782</v>
      </c>
      <c r="J330" t="s">
        <v>32</v>
      </c>
      <c r="K330" t="s">
        <v>2783</v>
      </c>
      <c r="L330" t="s">
        <v>2784</v>
      </c>
      <c r="O330" t="s">
        <v>2785</v>
      </c>
      <c r="P330" t="s">
        <v>1646</v>
      </c>
      <c r="R330" t="s">
        <v>36</v>
      </c>
      <c r="S330" t="s">
        <v>2786</v>
      </c>
      <c r="T330" t="s">
        <v>57</v>
      </c>
      <c r="U330">
        <v>46248.568634000003</v>
      </c>
      <c r="V330">
        <v>46297.587487999997</v>
      </c>
      <c r="Y330" t="s">
        <v>58</v>
      </c>
    </row>
    <row r="331" spans="2:25" x14ac:dyDescent="0.25">
      <c r="B331" t="s">
        <v>2787</v>
      </c>
      <c r="C331" t="s">
        <v>2788</v>
      </c>
      <c r="D331" t="s">
        <v>219</v>
      </c>
      <c r="E331">
        <v>2021</v>
      </c>
      <c r="F331" t="s">
        <v>29</v>
      </c>
      <c r="H331" t="s">
        <v>318</v>
      </c>
      <c r="I331" t="s">
        <v>2789</v>
      </c>
      <c r="J331" t="s">
        <v>81</v>
      </c>
      <c r="K331" t="s">
        <v>2790</v>
      </c>
      <c r="L331" t="s">
        <v>2791</v>
      </c>
      <c r="N331" t="s">
        <v>2792</v>
      </c>
      <c r="P331" t="s">
        <v>2793</v>
      </c>
      <c r="Q331" t="s">
        <v>226</v>
      </c>
      <c r="R331" t="s">
        <v>36</v>
      </c>
      <c r="S331" t="s">
        <v>1713</v>
      </c>
      <c r="T331" t="s">
        <v>48</v>
      </c>
      <c r="U331">
        <v>46248.568646</v>
      </c>
      <c r="V331">
        <v>46297.572835999999</v>
      </c>
      <c r="Y331" t="s">
        <v>49</v>
      </c>
    </row>
    <row r="332" spans="2:25" x14ac:dyDescent="0.25">
      <c r="B332" t="s">
        <v>2794</v>
      </c>
      <c r="C332" t="s">
        <v>2795</v>
      </c>
      <c r="D332" t="s">
        <v>2796</v>
      </c>
      <c r="E332">
        <v>2024</v>
      </c>
      <c r="F332" t="s">
        <v>29</v>
      </c>
      <c r="G332" t="s">
        <v>2797</v>
      </c>
      <c r="H332" t="s">
        <v>2798</v>
      </c>
      <c r="I332" t="s">
        <v>2799</v>
      </c>
      <c r="J332" t="s">
        <v>32</v>
      </c>
      <c r="K332" t="s">
        <v>2800</v>
      </c>
      <c r="L332" t="s">
        <v>2801</v>
      </c>
      <c r="N332" t="s">
        <v>2802</v>
      </c>
      <c r="O332" t="s">
        <v>2803</v>
      </c>
      <c r="P332" t="s">
        <v>558</v>
      </c>
      <c r="Q332" t="s">
        <v>2804</v>
      </c>
      <c r="R332" t="s">
        <v>36</v>
      </c>
      <c r="S332" t="s">
        <v>490</v>
      </c>
      <c r="T332" t="s">
        <v>48</v>
      </c>
      <c r="U332">
        <v>46248.568646</v>
      </c>
      <c r="V332">
        <v>46297.572801000002</v>
      </c>
      <c r="Y332" t="s">
        <v>49</v>
      </c>
    </row>
    <row r="333" spans="2:25" x14ac:dyDescent="0.25">
      <c r="B333" t="s">
        <v>2805</v>
      </c>
      <c r="C333" t="s">
        <v>2806</v>
      </c>
      <c r="D333" t="s">
        <v>1586</v>
      </c>
      <c r="E333">
        <v>2024</v>
      </c>
      <c r="F333" t="s">
        <v>29</v>
      </c>
      <c r="H333" t="s">
        <v>1261</v>
      </c>
      <c r="I333" t="s">
        <v>2807</v>
      </c>
      <c r="J333" t="s">
        <v>81</v>
      </c>
      <c r="K333" t="s">
        <v>2808</v>
      </c>
      <c r="L333" t="s">
        <v>2809</v>
      </c>
      <c r="N333" t="s">
        <v>2810</v>
      </c>
      <c r="O333" t="s">
        <v>2811</v>
      </c>
      <c r="P333" t="s">
        <v>225</v>
      </c>
      <c r="Q333" t="s">
        <v>1592</v>
      </c>
      <c r="R333" t="s">
        <v>36</v>
      </c>
      <c r="S333" t="s">
        <v>2812</v>
      </c>
      <c r="T333" t="s">
        <v>48</v>
      </c>
      <c r="U333">
        <v>46248.568646</v>
      </c>
      <c r="V333">
        <v>46297.572650000002</v>
      </c>
      <c r="Y333" t="s">
        <v>49</v>
      </c>
    </row>
    <row r="334" spans="2:25" x14ac:dyDescent="0.25">
      <c r="B334" t="s">
        <v>2813</v>
      </c>
      <c r="C334" t="s">
        <v>2814</v>
      </c>
      <c r="D334" t="s">
        <v>2815</v>
      </c>
      <c r="E334">
        <v>2025</v>
      </c>
      <c r="F334" t="s">
        <v>29</v>
      </c>
      <c r="I334" t="s">
        <v>2816</v>
      </c>
      <c r="J334" t="s">
        <v>32</v>
      </c>
      <c r="K334" t="s">
        <v>1055</v>
      </c>
      <c r="L334" t="s">
        <v>2817</v>
      </c>
      <c r="N334" t="s">
        <v>2818</v>
      </c>
      <c r="O334" t="s">
        <v>2819</v>
      </c>
      <c r="P334" t="s">
        <v>35</v>
      </c>
      <c r="R334" t="s">
        <v>36</v>
      </c>
      <c r="S334" t="s">
        <v>261</v>
      </c>
      <c r="T334" t="s">
        <v>48</v>
      </c>
      <c r="U334">
        <v>46248.580312999999</v>
      </c>
      <c r="V334">
        <v>46297.575012000001</v>
      </c>
      <c r="Y334" t="s">
        <v>49</v>
      </c>
    </row>
    <row r="335" spans="2:25" x14ac:dyDescent="0.25">
      <c r="B335" t="s">
        <v>2820</v>
      </c>
      <c r="C335" t="s">
        <v>2821</v>
      </c>
      <c r="D335" t="s">
        <v>2822</v>
      </c>
      <c r="E335">
        <v>2024</v>
      </c>
      <c r="F335" t="s">
        <v>29</v>
      </c>
      <c r="I335" t="s">
        <v>2823</v>
      </c>
      <c r="J335" t="s">
        <v>32</v>
      </c>
      <c r="K335" t="s">
        <v>2824</v>
      </c>
      <c r="L335" t="s">
        <v>2825</v>
      </c>
      <c r="N335" t="s">
        <v>2826</v>
      </c>
      <c r="O335" t="s">
        <v>2827</v>
      </c>
      <c r="P335" t="s">
        <v>35</v>
      </c>
      <c r="R335" t="s">
        <v>36</v>
      </c>
      <c r="S335" t="s">
        <v>37</v>
      </c>
      <c r="T335" t="s">
        <v>48</v>
      </c>
      <c r="U335">
        <v>46248.568634000003</v>
      </c>
      <c r="V335">
        <v>46297.574976999997</v>
      </c>
      <c r="Y335" t="s">
        <v>49</v>
      </c>
    </row>
    <row r="336" spans="2:25" x14ac:dyDescent="0.25">
      <c r="B336" t="s">
        <v>2828</v>
      </c>
      <c r="C336" t="s">
        <v>206</v>
      </c>
      <c r="D336" t="s">
        <v>441</v>
      </c>
      <c r="E336">
        <v>2023</v>
      </c>
      <c r="F336" t="s">
        <v>29</v>
      </c>
      <c r="G336" t="s">
        <v>2829</v>
      </c>
      <c r="I336" t="s">
        <v>2830</v>
      </c>
      <c r="J336" t="s">
        <v>32</v>
      </c>
      <c r="K336" t="s">
        <v>2831</v>
      </c>
      <c r="L336" t="s">
        <v>2832</v>
      </c>
      <c r="N336" t="s">
        <v>2833</v>
      </c>
      <c r="P336" t="s">
        <v>214</v>
      </c>
      <c r="Q336" t="s">
        <v>447</v>
      </c>
      <c r="R336" t="s">
        <v>36</v>
      </c>
      <c r="S336" t="s">
        <v>2834</v>
      </c>
      <c r="T336" t="s">
        <v>48</v>
      </c>
      <c r="U336">
        <v>46248.568646</v>
      </c>
      <c r="V336">
        <v>46297.574907000002</v>
      </c>
      <c r="Y336" t="s">
        <v>49</v>
      </c>
    </row>
    <row r="337" spans="2:25" x14ac:dyDescent="0.25">
      <c r="B337" t="s">
        <v>2835</v>
      </c>
      <c r="C337" t="s">
        <v>2836</v>
      </c>
      <c r="D337" t="s">
        <v>551</v>
      </c>
      <c r="E337">
        <v>2025</v>
      </c>
      <c r="F337" t="s">
        <v>29</v>
      </c>
      <c r="H337" t="s">
        <v>1261</v>
      </c>
      <c r="I337" t="s">
        <v>2837</v>
      </c>
      <c r="J337" t="s">
        <v>81</v>
      </c>
      <c r="K337" t="s">
        <v>2838</v>
      </c>
      <c r="L337" t="s">
        <v>2839</v>
      </c>
      <c r="N337" t="s">
        <v>2840</v>
      </c>
      <c r="O337" t="s">
        <v>2841</v>
      </c>
      <c r="P337" t="s">
        <v>558</v>
      </c>
      <c r="Q337" t="s">
        <v>559</v>
      </c>
      <c r="R337" t="s">
        <v>36</v>
      </c>
      <c r="S337" t="s">
        <v>1304</v>
      </c>
      <c r="T337" t="s">
        <v>48</v>
      </c>
      <c r="U337">
        <v>46248.568646</v>
      </c>
      <c r="V337">
        <v>46297.574872999998</v>
      </c>
      <c r="Y337" t="s">
        <v>49</v>
      </c>
    </row>
    <row r="338" spans="2:25" x14ac:dyDescent="0.25">
      <c r="B338" t="s">
        <v>1048</v>
      </c>
      <c r="C338" t="s">
        <v>2842</v>
      </c>
      <c r="D338" t="s">
        <v>2843</v>
      </c>
      <c r="E338">
        <v>2024</v>
      </c>
      <c r="F338" t="s">
        <v>29</v>
      </c>
      <c r="I338" t="s">
        <v>2844</v>
      </c>
      <c r="J338" t="s">
        <v>32</v>
      </c>
      <c r="K338" t="s">
        <v>1051</v>
      </c>
      <c r="L338" t="s">
        <v>2845</v>
      </c>
      <c r="N338" t="s">
        <v>2846</v>
      </c>
      <c r="O338" t="s">
        <v>2847</v>
      </c>
      <c r="P338" t="s">
        <v>35</v>
      </c>
      <c r="R338" t="s">
        <v>36</v>
      </c>
      <c r="S338" t="s">
        <v>37</v>
      </c>
      <c r="T338" t="s">
        <v>48</v>
      </c>
      <c r="U338">
        <v>46248.568646</v>
      </c>
      <c r="V338">
        <v>46297.574838</v>
      </c>
      <c r="Y338" t="s">
        <v>49</v>
      </c>
    </row>
    <row r="339" spans="2:25" x14ac:dyDescent="0.25">
      <c r="B339" t="s">
        <v>2848</v>
      </c>
      <c r="C339" t="s">
        <v>2849</v>
      </c>
      <c r="D339" t="s">
        <v>1209</v>
      </c>
      <c r="E339">
        <v>2022</v>
      </c>
      <c r="F339" t="s">
        <v>29</v>
      </c>
      <c r="G339" t="s">
        <v>2850</v>
      </c>
      <c r="H339" t="s">
        <v>1271</v>
      </c>
      <c r="I339" t="s">
        <v>2851</v>
      </c>
      <c r="J339" t="s">
        <v>81</v>
      </c>
      <c r="K339" t="s">
        <v>2852</v>
      </c>
      <c r="L339" t="s">
        <v>2853</v>
      </c>
      <c r="N339" t="s">
        <v>2854</v>
      </c>
      <c r="O339" t="s">
        <v>2855</v>
      </c>
      <c r="P339" t="s">
        <v>35</v>
      </c>
      <c r="Q339" t="s">
        <v>1216</v>
      </c>
      <c r="R339" t="s">
        <v>36</v>
      </c>
      <c r="S339" t="s">
        <v>2324</v>
      </c>
      <c r="T339" t="s">
        <v>48</v>
      </c>
      <c r="U339">
        <v>46248.568634000003</v>
      </c>
      <c r="V339">
        <v>46297.574815</v>
      </c>
      <c r="Y339" t="s">
        <v>49</v>
      </c>
    </row>
    <row r="340" spans="2:25" x14ac:dyDescent="0.25">
      <c r="B340" t="s">
        <v>2856</v>
      </c>
      <c r="C340" t="s">
        <v>2857</v>
      </c>
      <c r="D340" t="s">
        <v>551</v>
      </c>
      <c r="E340">
        <v>2026</v>
      </c>
      <c r="F340" t="s">
        <v>29</v>
      </c>
      <c r="H340" t="s">
        <v>1271</v>
      </c>
      <c r="I340" t="s">
        <v>2858</v>
      </c>
      <c r="J340" t="s">
        <v>81</v>
      </c>
      <c r="K340" t="s">
        <v>2859</v>
      </c>
      <c r="L340" t="s">
        <v>2860</v>
      </c>
      <c r="N340" t="s">
        <v>2861</v>
      </c>
      <c r="O340" t="s">
        <v>2862</v>
      </c>
      <c r="P340" t="s">
        <v>558</v>
      </c>
      <c r="Q340" t="s">
        <v>559</v>
      </c>
      <c r="R340" t="s">
        <v>36</v>
      </c>
      <c r="S340" t="s">
        <v>227</v>
      </c>
      <c r="T340" t="s">
        <v>48</v>
      </c>
      <c r="U340">
        <v>46248.568646</v>
      </c>
      <c r="V340">
        <v>46297.574780000003</v>
      </c>
      <c r="Y340" t="s">
        <v>49</v>
      </c>
    </row>
    <row r="341" spans="2:25" x14ac:dyDescent="0.25">
      <c r="B341" t="s">
        <v>2863</v>
      </c>
      <c r="C341" t="s">
        <v>2864</v>
      </c>
      <c r="D341" t="s">
        <v>2865</v>
      </c>
      <c r="E341">
        <v>2022</v>
      </c>
      <c r="F341" t="s">
        <v>29</v>
      </c>
      <c r="H341" t="s">
        <v>2866</v>
      </c>
      <c r="I341" t="s">
        <v>2867</v>
      </c>
      <c r="J341" t="s">
        <v>81</v>
      </c>
      <c r="K341" t="s">
        <v>2868</v>
      </c>
      <c r="L341" t="s">
        <v>2869</v>
      </c>
      <c r="N341" t="s">
        <v>2870</v>
      </c>
      <c r="O341" t="s">
        <v>2871</v>
      </c>
      <c r="P341" t="s">
        <v>120</v>
      </c>
      <c r="Q341" t="s">
        <v>2872</v>
      </c>
      <c r="R341" t="s">
        <v>36</v>
      </c>
      <c r="S341" t="s">
        <v>2633</v>
      </c>
      <c r="T341" t="s">
        <v>48</v>
      </c>
      <c r="U341">
        <v>46248.568634000003</v>
      </c>
      <c r="V341">
        <v>46297.574734000002</v>
      </c>
      <c r="Y341" t="s">
        <v>49</v>
      </c>
    </row>
    <row r="342" spans="2:25" x14ac:dyDescent="0.25">
      <c r="B342" t="s">
        <v>2873</v>
      </c>
      <c r="C342" t="s">
        <v>2874</v>
      </c>
      <c r="D342" t="s">
        <v>2875</v>
      </c>
      <c r="E342">
        <v>2026</v>
      </c>
      <c r="F342" t="s">
        <v>29</v>
      </c>
      <c r="G342" t="s">
        <v>2876</v>
      </c>
      <c r="H342" t="s">
        <v>2142</v>
      </c>
      <c r="I342" t="s">
        <v>2877</v>
      </c>
      <c r="J342" t="s">
        <v>81</v>
      </c>
      <c r="K342" t="s">
        <v>2878</v>
      </c>
      <c r="L342" t="s">
        <v>2879</v>
      </c>
      <c r="N342" t="s">
        <v>2880</v>
      </c>
      <c r="P342" t="s">
        <v>2881</v>
      </c>
      <c r="Q342" t="s">
        <v>2882</v>
      </c>
      <c r="R342" t="s">
        <v>36</v>
      </c>
      <c r="S342" t="s">
        <v>37</v>
      </c>
      <c r="T342" t="s">
        <v>48</v>
      </c>
      <c r="U342">
        <v>46248.568634000003</v>
      </c>
      <c r="V342">
        <v>46297.574711000001</v>
      </c>
      <c r="Y342" t="s">
        <v>49</v>
      </c>
    </row>
    <row r="343" spans="2:25" x14ac:dyDescent="0.25">
      <c r="B343" t="s">
        <v>2883</v>
      </c>
      <c r="C343" t="s">
        <v>2884</v>
      </c>
      <c r="D343" t="s">
        <v>2885</v>
      </c>
      <c r="E343">
        <v>2024</v>
      </c>
      <c r="F343" t="s">
        <v>29</v>
      </c>
      <c r="G343" t="s">
        <v>2886</v>
      </c>
      <c r="H343" t="s">
        <v>690</v>
      </c>
      <c r="I343" t="s">
        <v>2887</v>
      </c>
      <c r="J343" t="s">
        <v>81</v>
      </c>
      <c r="K343" t="s">
        <v>2888</v>
      </c>
      <c r="L343" t="s">
        <v>2889</v>
      </c>
      <c r="N343" t="s">
        <v>2890</v>
      </c>
      <c r="O343" t="s">
        <v>2891</v>
      </c>
      <c r="P343" t="s">
        <v>2892</v>
      </c>
      <c r="Q343" t="s">
        <v>2893</v>
      </c>
      <c r="R343" t="s">
        <v>36</v>
      </c>
      <c r="S343" t="s">
        <v>2894</v>
      </c>
      <c r="T343" t="s">
        <v>48</v>
      </c>
      <c r="U343">
        <v>46248.568634000003</v>
      </c>
      <c r="V343">
        <v>46297.574443999998</v>
      </c>
      <c r="Y343" t="s">
        <v>49</v>
      </c>
    </row>
    <row r="344" spans="2:25" x14ac:dyDescent="0.25">
      <c r="B344" t="s">
        <v>2895</v>
      </c>
      <c r="C344" t="s">
        <v>2896</v>
      </c>
      <c r="D344" t="s">
        <v>2897</v>
      </c>
      <c r="E344">
        <v>2026</v>
      </c>
      <c r="F344" t="s">
        <v>29</v>
      </c>
      <c r="G344" t="s">
        <v>2898</v>
      </c>
      <c r="H344" t="s">
        <v>1086</v>
      </c>
      <c r="I344" t="s">
        <v>2899</v>
      </c>
      <c r="J344" t="s">
        <v>81</v>
      </c>
      <c r="K344" t="s">
        <v>2900</v>
      </c>
      <c r="L344" t="s">
        <v>2901</v>
      </c>
      <c r="P344" t="s">
        <v>2902</v>
      </c>
      <c r="Q344" t="s">
        <v>2903</v>
      </c>
      <c r="R344" t="s">
        <v>36</v>
      </c>
      <c r="S344" t="s">
        <v>422</v>
      </c>
      <c r="T344" t="s">
        <v>48</v>
      </c>
      <c r="U344">
        <v>46248.568634000003</v>
      </c>
      <c r="V344">
        <v>46297.574941999999</v>
      </c>
      <c r="Y344" t="s">
        <v>49</v>
      </c>
    </row>
    <row r="345" spans="2:25" x14ac:dyDescent="0.25">
      <c r="B345" t="s">
        <v>2904</v>
      </c>
      <c r="C345" t="s">
        <v>2905</v>
      </c>
      <c r="D345" t="s">
        <v>2906</v>
      </c>
      <c r="E345">
        <v>2025</v>
      </c>
      <c r="F345" t="s">
        <v>29</v>
      </c>
      <c r="I345" t="s">
        <v>2907</v>
      </c>
      <c r="J345" t="s">
        <v>32</v>
      </c>
      <c r="K345" t="s">
        <v>2908</v>
      </c>
      <c r="L345" t="s">
        <v>2909</v>
      </c>
      <c r="N345" t="s">
        <v>2910</v>
      </c>
      <c r="O345" t="s">
        <v>2911</v>
      </c>
      <c r="P345" t="s">
        <v>35</v>
      </c>
      <c r="Q345" t="s">
        <v>2912</v>
      </c>
      <c r="R345" t="s">
        <v>36</v>
      </c>
      <c r="S345" t="s">
        <v>261</v>
      </c>
      <c r="T345" t="s">
        <v>48</v>
      </c>
      <c r="U345">
        <v>46248.568646</v>
      </c>
      <c r="V345">
        <v>46297.575068999999</v>
      </c>
      <c r="Y345" t="s">
        <v>49</v>
      </c>
    </row>
    <row r="346" spans="2:25" x14ac:dyDescent="0.25">
      <c r="B346" t="s">
        <v>2913</v>
      </c>
      <c r="C346" t="s">
        <v>2914</v>
      </c>
      <c r="D346" t="s">
        <v>2915</v>
      </c>
      <c r="E346">
        <v>2023</v>
      </c>
      <c r="F346" t="s">
        <v>29</v>
      </c>
      <c r="H346" t="s">
        <v>1411</v>
      </c>
      <c r="I346" t="s">
        <v>2916</v>
      </c>
      <c r="J346" t="s">
        <v>81</v>
      </c>
      <c r="K346" t="s">
        <v>2917</v>
      </c>
      <c r="L346" t="s">
        <v>2918</v>
      </c>
      <c r="N346" t="s">
        <v>2919</v>
      </c>
      <c r="P346" t="s">
        <v>2920</v>
      </c>
      <c r="Q346" t="s">
        <v>2921</v>
      </c>
      <c r="R346" t="s">
        <v>36</v>
      </c>
      <c r="S346" t="s">
        <v>2922</v>
      </c>
      <c r="T346" t="s">
        <v>87</v>
      </c>
      <c r="U346">
        <v>46248.568634000003</v>
      </c>
      <c r="V346">
        <v>46252.7811</v>
      </c>
      <c r="Y346" t="s">
        <v>58</v>
      </c>
    </row>
    <row r="347" spans="2:25" x14ac:dyDescent="0.25">
      <c r="B347" t="s">
        <v>2923</v>
      </c>
      <c r="C347" t="s">
        <v>2924</v>
      </c>
      <c r="D347" t="s">
        <v>2925</v>
      </c>
      <c r="E347">
        <v>2022</v>
      </c>
      <c r="F347" t="s">
        <v>29</v>
      </c>
      <c r="H347" t="s">
        <v>99</v>
      </c>
      <c r="I347" t="s">
        <v>2926</v>
      </c>
      <c r="J347" t="s">
        <v>81</v>
      </c>
      <c r="K347" t="s">
        <v>2927</v>
      </c>
      <c r="L347" t="s">
        <v>2928</v>
      </c>
      <c r="N347" t="s">
        <v>2929</v>
      </c>
      <c r="P347" t="s">
        <v>726</v>
      </c>
      <c r="Q347" t="s">
        <v>2930</v>
      </c>
      <c r="R347" t="s">
        <v>36</v>
      </c>
      <c r="S347" t="s">
        <v>216</v>
      </c>
      <c r="T347" t="s">
        <v>87</v>
      </c>
      <c r="U347">
        <v>46248.568646</v>
      </c>
      <c r="V347">
        <v>46252.778946999999</v>
      </c>
      <c r="Y347" t="s">
        <v>58</v>
      </c>
    </row>
    <row r="348" spans="2:25" x14ac:dyDescent="0.25">
      <c r="B348" t="s">
        <v>2931</v>
      </c>
      <c r="C348" t="s">
        <v>2932</v>
      </c>
      <c r="D348" t="s">
        <v>541</v>
      </c>
      <c r="E348">
        <v>2024</v>
      </c>
      <c r="F348" t="s">
        <v>29</v>
      </c>
      <c r="G348" t="s">
        <v>2933</v>
      </c>
      <c r="I348" t="s">
        <v>2934</v>
      </c>
      <c r="J348" t="s">
        <v>32</v>
      </c>
      <c r="K348" t="s">
        <v>2935</v>
      </c>
      <c r="L348" t="s">
        <v>2936</v>
      </c>
      <c r="N348" t="s">
        <v>2937</v>
      </c>
      <c r="O348" t="s">
        <v>2938</v>
      </c>
      <c r="P348" t="s">
        <v>236</v>
      </c>
      <c r="R348" t="s">
        <v>36</v>
      </c>
      <c r="S348" t="s">
        <v>940</v>
      </c>
      <c r="T348" t="s">
        <v>87</v>
      </c>
      <c r="U348">
        <v>46248.568634000003</v>
      </c>
      <c r="V348">
        <v>46252.772430999998</v>
      </c>
      <c r="Y348" t="s">
        <v>58</v>
      </c>
    </row>
    <row r="349" spans="2:25" x14ac:dyDescent="0.25">
      <c r="B349" t="s">
        <v>2939</v>
      </c>
      <c r="C349" t="s">
        <v>2940</v>
      </c>
      <c r="E349">
        <v>2026</v>
      </c>
      <c r="F349" t="s">
        <v>42</v>
      </c>
      <c r="G349" t="s">
        <v>2941</v>
      </c>
      <c r="I349" t="s">
        <v>31</v>
      </c>
      <c r="K349" t="s">
        <v>2942</v>
      </c>
      <c r="L349" t="s">
        <v>2943</v>
      </c>
      <c r="P349" t="s">
        <v>46</v>
      </c>
      <c r="Q349" t="s">
        <v>2944</v>
      </c>
      <c r="T349" t="s">
        <v>48</v>
      </c>
      <c r="U349">
        <v>46276.551667</v>
      </c>
      <c r="V349">
        <v>46297.575104000003</v>
      </c>
      <c r="Y349" t="s">
        <v>49</v>
      </c>
    </row>
    <row r="350" spans="2:25" x14ac:dyDescent="0.25">
      <c r="B350" t="s">
        <v>2945</v>
      </c>
      <c r="C350" t="s">
        <v>2946</v>
      </c>
      <c r="D350" t="s">
        <v>2947</v>
      </c>
      <c r="E350">
        <v>2026</v>
      </c>
      <c r="F350" t="s">
        <v>29</v>
      </c>
      <c r="G350" t="s">
        <v>2948</v>
      </c>
      <c r="I350" t="s">
        <v>31</v>
      </c>
      <c r="J350" t="s">
        <v>32</v>
      </c>
      <c r="K350" t="s">
        <v>2949</v>
      </c>
      <c r="L350" t="s">
        <v>2950</v>
      </c>
      <c r="P350" t="s">
        <v>35</v>
      </c>
      <c r="R350" t="s">
        <v>36</v>
      </c>
      <c r="S350" t="s">
        <v>37</v>
      </c>
      <c r="T350" t="s">
        <v>94</v>
      </c>
      <c r="U350">
        <v>46276.582268999999</v>
      </c>
      <c r="V350">
        <v>46297.597418999998</v>
      </c>
      <c r="Y350" t="s">
        <v>58</v>
      </c>
    </row>
    <row r="351" spans="2:25" x14ac:dyDescent="0.25">
      <c r="B351" t="s">
        <v>2951</v>
      </c>
      <c r="C351" t="s">
        <v>2952</v>
      </c>
      <c r="D351" t="s">
        <v>790</v>
      </c>
      <c r="E351">
        <v>2026</v>
      </c>
      <c r="F351" t="s">
        <v>29</v>
      </c>
      <c r="H351" t="s">
        <v>209</v>
      </c>
      <c r="I351" t="s">
        <v>31</v>
      </c>
      <c r="J351" t="s">
        <v>81</v>
      </c>
      <c r="K351" t="s">
        <v>2953</v>
      </c>
      <c r="L351" t="s">
        <v>2954</v>
      </c>
      <c r="P351" t="s">
        <v>225</v>
      </c>
      <c r="Q351" t="s">
        <v>795</v>
      </c>
      <c r="R351" t="s">
        <v>36</v>
      </c>
      <c r="S351" t="s">
        <v>86</v>
      </c>
      <c r="T351" t="s">
        <v>398</v>
      </c>
      <c r="U351">
        <v>46276.582662000001</v>
      </c>
      <c r="V351">
        <v>46297.603947000003</v>
      </c>
      <c r="Y351" t="s">
        <v>58</v>
      </c>
    </row>
    <row r="352" spans="2:25" x14ac:dyDescent="0.25">
      <c r="B352" t="s">
        <v>2955</v>
      </c>
      <c r="C352" t="s">
        <v>2956</v>
      </c>
      <c r="E352">
        <v>2026</v>
      </c>
      <c r="F352" t="s">
        <v>42</v>
      </c>
      <c r="G352" t="s">
        <v>2957</v>
      </c>
      <c r="I352" t="s">
        <v>31</v>
      </c>
      <c r="K352" t="s">
        <v>2958</v>
      </c>
      <c r="L352" t="s">
        <v>2959</v>
      </c>
      <c r="P352" t="s">
        <v>46</v>
      </c>
      <c r="Q352" t="s">
        <v>2960</v>
      </c>
      <c r="T352" t="s">
        <v>398</v>
      </c>
      <c r="U352">
        <v>46275.916574000003</v>
      </c>
      <c r="V352">
        <v>46297.603981</v>
      </c>
      <c r="Y352" t="s">
        <v>58</v>
      </c>
    </row>
    <row r="353" spans="2:25" x14ac:dyDescent="0.25">
      <c r="B353" t="s">
        <v>2961</v>
      </c>
      <c r="C353" t="s">
        <v>2962</v>
      </c>
      <c r="D353" t="s">
        <v>780</v>
      </c>
      <c r="E353">
        <v>2021</v>
      </c>
      <c r="F353" t="s">
        <v>29</v>
      </c>
      <c r="H353" t="s">
        <v>1411</v>
      </c>
      <c r="I353" t="s">
        <v>2963</v>
      </c>
      <c r="J353" t="s">
        <v>81</v>
      </c>
      <c r="K353" t="s">
        <v>2964</v>
      </c>
      <c r="L353" t="s">
        <v>2965</v>
      </c>
      <c r="N353" t="s">
        <v>2966</v>
      </c>
      <c r="O353" t="s">
        <v>2967</v>
      </c>
      <c r="P353" t="s">
        <v>236</v>
      </c>
      <c r="Q353" t="s">
        <v>786</v>
      </c>
      <c r="R353" t="s">
        <v>36</v>
      </c>
      <c r="S353" t="s">
        <v>1959</v>
      </c>
      <c r="T353" t="s">
        <v>87</v>
      </c>
      <c r="U353">
        <v>46248.568634000003</v>
      </c>
      <c r="V353">
        <v>46251.851748000001</v>
      </c>
      <c r="Y353" t="s">
        <v>58</v>
      </c>
    </row>
    <row r="354" spans="2:25" x14ac:dyDescent="0.25">
      <c r="B354" t="s">
        <v>2968</v>
      </c>
      <c r="C354" t="s">
        <v>2969</v>
      </c>
      <c r="D354" t="s">
        <v>2970</v>
      </c>
      <c r="E354">
        <v>2024</v>
      </c>
      <c r="F354" t="s">
        <v>29</v>
      </c>
      <c r="I354" t="s">
        <v>2971</v>
      </c>
      <c r="J354" t="s">
        <v>32</v>
      </c>
      <c r="K354" t="s">
        <v>2972</v>
      </c>
      <c r="L354" t="s">
        <v>2973</v>
      </c>
      <c r="N354" t="s">
        <v>2974</v>
      </c>
      <c r="O354" t="s">
        <v>2975</v>
      </c>
      <c r="P354" t="s">
        <v>35</v>
      </c>
      <c r="R354" t="s">
        <v>36</v>
      </c>
      <c r="S354" t="s">
        <v>344</v>
      </c>
      <c r="T354" t="s">
        <v>87</v>
      </c>
      <c r="U354">
        <v>46248.568646</v>
      </c>
      <c r="V354">
        <v>46251.848437000001</v>
      </c>
      <c r="Y354" t="s">
        <v>58</v>
      </c>
    </row>
    <row r="355" spans="2:25" x14ac:dyDescent="0.25">
      <c r="B355" t="s">
        <v>2976</v>
      </c>
      <c r="C355" t="s">
        <v>2977</v>
      </c>
      <c r="D355" t="s">
        <v>1209</v>
      </c>
      <c r="E355">
        <v>2025</v>
      </c>
      <c r="F355" t="s">
        <v>29</v>
      </c>
      <c r="G355" t="s">
        <v>2978</v>
      </c>
      <c r="H355" t="s">
        <v>391</v>
      </c>
      <c r="I355" t="s">
        <v>2979</v>
      </c>
      <c r="J355" t="s">
        <v>81</v>
      </c>
      <c r="K355" t="s">
        <v>2980</v>
      </c>
      <c r="L355" t="s">
        <v>2981</v>
      </c>
      <c r="N355" t="s">
        <v>2982</v>
      </c>
      <c r="O355" t="s">
        <v>2983</v>
      </c>
      <c r="P355" t="s">
        <v>35</v>
      </c>
      <c r="Q355" t="s">
        <v>1216</v>
      </c>
      <c r="R355" t="s">
        <v>36</v>
      </c>
      <c r="S355" t="s">
        <v>1137</v>
      </c>
      <c r="T355" t="s">
        <v>94</v>
      </c>
      <c r="U355">
        <v>46248.574931000003</v>
      </c>
      <c r="V355">
        <v>46297.597522999997</v>
      </c>
      <c r="Y355" t="s">
        <v>58</v>
      </c>
    </row>
    <row r="356" spans="2:25" x14ac:dyDescent="0.25">
      <c r="B356" t="s">
        <v>2984</v>
      </c>
      <c r="C356" t="s">
        <v>2985</v>
      </c>
      <c r="D356" t="s">
        <v>678</v>
      </c>
      <c r="E356">
        <v>2025</v>
      </c>
      <c r="F356" t="s">
        <v>29</v>
      </c>
      <c r="H356" t="s">
        <v>1172</v>
      </c>
      <c r="I356" t="s">
        <v>2986</v>
      </c>
      <c r="J356" t="s">
        <v>81</v>
      </c>
      <c r="K356" t="s">
        <v>2987</v>
      </c>
      <c r="L356" t="s">
        <v>2988</v>
      </c>
      <c r="N356" t="s">
        <v>2989</v>
      </c>
      <c r="O356" t="s">
        <v>2990</v>
      </c>
      <c r="P356" t="s">
        <v>225</v>
      </c>
      <c r="Q356" t="s">
        <v>684</v>
      </c>
      <c r="R356" t="s">
        <v>36</v>
      </c>
      <c r="S356" t="s">
        <v>422</v>
      </c>
      <c r="T356" t="s">
        <v>87</v>
      </c>
      <c r="U356">
        <v>46248.568646</v>
      </c>
      <c r="V356">
        <v>46252.614397999998</v>
      </c>
      <c r="Y356" t="s">
        <v>58</v>
      </c>
    </row>
    <row r="357" spans="2:25" x14ac:dyDescent="0.25">
      <c r="B357" t="s">
        <v>2991</v>
      </c>
      <c r="C357" t="s">
        <v>2992</v>
      </c>
      <c r="D357" t="s">
        <v>1986</v>
      </c>
      <c r="E357">
        <v>2024</v>
      </c>
      <c r="F357" t="s">
        <v>29</v>
      </c>
      <c r="H357" t="s">
        <v>296</v>
      </c>
      <c r="I357" t="s">
        <v>2993</v>
      </c>
      <c r="J357" t="s">
        <v>81</v>
      </c>
      <c r="K357" t="s">
        <v>2994</v>
      </c>
      <c r="L357" t="s">
        <v>2995</v>
      </c>
      <c r="N357" t="s">
        <v>2996</v>
      </c>
      <c r="P357" t="s">
        <v>225</v>
      </c>
      <c r="Q357" t="s">
        <v>1991</v>
      </c>
      <c r="R357" t="s">
        <v>36</v>
      </c>
      <c r="S357" t="s">
        <v>1407</v>
      </c>
      <c r="T357" t="s">
        <v>94</v>
      </c>
      <c r="U357">
        <v>46248.568646</v>
      </c>
      <c r="V357">
        <v>46297.597592999999</v>
      </c>
      <c r="Y357" t="s">
        <v>58</v>
      </c>
    </row>
    <row r="358" spans="2:25" x14ac:dyDescent="0.25">
      <c r="B358" t="s">
        <v>2997</v>
      </c>
      <c r="C358" t="s">
        <v>2998</v>
      </c>
      <c r="D358" t="s">
        <v>441</v>
      </c>
      <c r="E358">
        <v>2025</v>
      </c>
      <c r="F358" t="s">
        <v>29</v>
      </c>
      <c r="G358" t="s">
        <v>2999</v>
      </c>
      <c r="I358" t="s">
        <v>3000</v>
      </c>
      <c r="J358" t="s">
        <v>32</v>
      </c>
      <c r="K358" t="s">
        <v>3001</v>
      </c>
      <c r="L358" t="s">
        <v>3002</v>
      </c>
      <c r="N358" t="s">
        <v>3003</v>
      </c>
      <c r="P358" t="s">
        <v>214</v>
      </c>
      <c r="Q358" t="s">
        <v>447</v>
      </c>
      <c r="R358" t="s">
        <v>36</v>
      </c>
      <c r="S358" t="s">
        <v>37</v>
      </c>
      <c r="T358" t="s">
        <v>94</v>
      </c>
      <c r="U358">
        <v>46248.568646</v>
      </c>
      <c r="V358">
        <v>46297.597627000003</v>
      </c>
      <c r="Y358" t="s">
        <v>58</v>
      </c>
    </row>
    <row r="359" spans="2:25" x14ac:dyDescent="0.25">
      <c r="B359" t="s">
        <v>3004</v>
      </c>
      <c r="C359" t="s">
        <v>3005</v>
      </c>
      <c r="D359" t="s">
        <v>593</v>
      </c>
      <c r="E359">
        <v>2024</v>
      </c>
      <c r="F359" t="s">
        <v>29</v>
      </c>
      <c r="G359" t="s">
        <v>3006</v>
      </c>
      <c r="H359" t="s">
        <v>3007</v>
      </c>
      <c r="I359" t="s">
        <v>3008</v>
      </c>
      <c r="J359" t="s">
        <v>32</v>
      </c>
      <c r="K359" t="s">
        <v>3009</v>
      </c>
      <c r="L359" t="s">
        <v>3010</v>
      </c>
      <c r="N359" t="s">
        <v>3011</v>
      </c>
      <c r="O359" t="s">
        <v>3012</v>
      </c>
      <c r="P359" t="s">
        <v>259</v>
      </c>
      <c r="Q359" t="s">
        <v>260</v>
      </c>
      <c r="R359" t="s">
        <v>36</v>
      </c>
      <c r="S359" t="s">
        <v>601</v>
      </c>
      <c r="T359" t="s">
        <v>398</v>
      </c>
      <c r="U359">
        <v>46248.568646</v>
      </c>
      <c r="V359">
        <v>46297.604339999998</v>
      </c>
      <c r="Y359" t="s">
        <v>58</v>
      </c>
    </row>
    <row r="360" spans="2:25" x14ac:dyDescent="0.25">
      <c r="B360" t="s">
        <v>3013</v>
      </c>
      <c r="C360" t="s">
        <v>3014</v>
      </c>
      <c r="D360" t="s">
        <v>2885</v>
      </c>
      <c r="E360">
        <v>2026</v>
      </c>
      <c r="F360" t="s">
        <v>29</v>
      </c>
      <c r="G360" t="s">
        <v>3015</v>
      </c>
      <c r="H360" t="s">
        <v>2617</v>
      </c>
      <c r="I360" t="s">
        <v>31</v>
      </c>
      <c r="J360" t="s">
        <v>81</v>
      </c>
      <c r="K360" t="s">
        <v>3016</v>
      </c>
      <c r="L360" t="s">
        <v>3017</v>
      </c>
      <c r="N360" t="s">
        <v>3018</v>
      </c>
      <c r="P360" t="s">
        <v>2892</v>
      </c>
      <c r="Q360" t="s">
        <v>2893</v>
      </c>
      <c r="R360" t="s">
        <v>36</v>
      </c>
      <c r="S360" t="s">
        <v>282</v>
      </c>
      <c r="T360" t="s">
        <v>87</v>
      </c>
      <c r="U360">
        <v>46248.568646</v>
      </c>
      <c r="V360">
        <v>46255.588275000002</v>
      </c>
      <c r="Y360" t="s">
        <v>58</v>
      </c>
    </row>
  </sheetData>
  <pageMargins left="0.511811024" right="0.511811024" top="0.78740157499999996" bottom="0.78740157499999996" header="0.31496062000000002" footer="0.31496062000000002"/>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Non-primary research</vt:lpstr>
      <vt:lpstr>Articles per selection criteria</vt:lpstr>
      <vt:lpstr>Records per search repository</vt:lpstr>
      <vt:lpstr>Records per publication year</vt:lpstr>
      <vt:lpstr>Selection status</vt:lpstr>
      <vt:lpstr>Articles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2026-10-06T21:27:51Z</dcterms:created>
  <dcterms:modified xsi:type="dcterms:W3CDTF">2026-10-06T21:34:39Z</dcterms:modified>
</cp:coreProperties>
</file>
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filterPrivacy="1" hidePivotFieldList="1"/>
  <xr:revisionPtr revIDLastSave="54" documentId="11_AD4D361C20488DEA4E38A0802C1D60325ADEDD88" xr6:coauthVersionLast="47" xr6:coauthVersionMax="47" xr10:uidLastSave="{DF7CC621-A1CE-487A-822E-DF5E367841B2}"/>
  <bookViews>
    <workbookView xWindow="5130" yWindow="840" windowWidth="21405" windowHeight="11295" activeTab="2" xr2:uid="{00000000-000D-0000-FFFF-FFFF00000000}"/>
  </bookViews>
  <sheets>
    <sheet name="Consulta e-MEC 2026" sheetId="4" r:id="rId1"/>
    <sheet name="Portal da Transparência 2024" sheetId="2" r:id="rId2"/>
    <sheet name="Orçamento" sheetId="3" r:id="rId3"/>
    <sheet name="Custo por Estudante" sheetId="5" r:id="rId4"/>
  </sheets>
  <definedNames>
    <definedName name="DadosExternos_1" localSheetId="0" hidden="1">'Consulta e-MEC 2026'!$A$1:$AB$70</definedName>
    <definedName name="DadosExternos_1" localSheetId="1" hidden="1">'Portal da Transparência 2024'!$A$1:$G$1405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5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FC309D1-7B47-4A13-AC3B-EE68596B8592}" keepAlive="1" name="Consulta - despesasPorOrgao" description="Conexão com a consulta 'despesasPorOrgao' na pasta de trabalho." type="5" refreshedVersion="8" background="1" saveData="1">
    <dbPr connection="Provider=Microsoft.Mashup.OleDb.1;Data Source=$Workbook$;Location=despesasPorOrgao;Extended Properties=&quot;&quot;" command="SELECT * FROM [despesasPorOrgao]"/>
  </connection>
  <connection id="2" xr16:uid="{BCFC0BFF-C335-42BC-8EC5-787B097B5F5D}" keepAlive="1" name="Consulta - relatorio_consulta_publica_avan" description="Conexão com a consulta 'relatorio_consulta_publica_avan' na pasta de trabalho." type="5" refreshedVersion="8" background="1" saveData="1">
    <dbPr connection="Provider=Microsoft.Mashup.OleDb.1;Data Source=$Workbook$;Location=relatorio_consulta_publica_avan;Extended Properties=&quot;&quot;" command="SELECT * FROM [relatorio_consulta_publica_avan]"/>
  </connection>
</connections>
</file>

<file path=xl/sharedStrings.xml><?xml version="1.0" encoding="utf-8"?>
<sst xmlns="http://schemas.openxmlformats.org/spreadsheetml/2006/main" count="5558" uniqueCount="2212">
  <si>
    <t>Mês Ano</t>
  </si>
  <si>
    <t>Órgão Superior</t>
  </si>
  <si>
    <t>Órgão/Entidade Vinculada</t>
  </si>
  <si>
    <t>Valor Empenhado</t>
  </si>
  <si>
    <t>Valor Liquidado</t>
  </si>
  <si>
    <t>Valor Pago</t>
  </si>
  <si>
    <t>Valor Restos a Pagar Pagos</t>
  </si>
  <si>
    <t>26000 - Ministério da Educação</t>
  </si>
  <si>
    <t>26256 - Centro Federal de Educação Tecnológica Celso Suckow da Fonseca</t>
  </si>
  <si>
    <t>14.938.864,03</t>
  </si>
  <si>
    <t>2.624.567,67</t>
  </si>
  <si>
    <t>2.989.013,50</t>
  </si>
  <si>
    <t>700.604,63</t>
  </si>
  <si>
    <t>2.064.153,52</t>
  </si>
  <si>
    <t>20.334.411,69</t>
  </si>
  <si>
    <t>1.716.829,04</t>
  </si>
  <si>
    <t>2.088.960,29</t>
  </si>
  <si>
    <t>432.346.026,38</t>
  </si>
  <si>
    <t>5.318.529,15</t>
  </si>
  <si>
    <t>17.785.557,96</t>
  </si>
  <si>
    <t>7.335.695,93</t>
  </si>
  <si>
    <t>26257 - Centro Federal de Educação Tecnológica de Minas Gerais</t>
  </si>
  <si>
    <t>2.142.537,02</t>
  </si>
  <si>
    <t>2.214.820,36</t>
  </si>
  <si>
    <t>7.038.136,02</t>
  </si>
  <si>
    <t>6.861.855,02</t>
  </si>
  <si>
    <t>7.302.235,51</t>
  </si>
  <si>
    <t>8.578.709,35</t>
  </si>
  <si>
    <t>10.138.516,49</t>
  </si>
  <si>
    <t>14.145.750,24</t>
  </si>
  <si>
    <t>511.585.338,29</t>
  </si>
  <si>
    <t>737.050,48</t>
  </si>
  <si>
    <t>14.975.243,36</t>
  </si>
  <si>
    <t>- 1.762.133,94</t>
  </si>
  <si>
    <t>26201 - Colégio Pedro II</t>
  </si>
  <si>
    <t>- 10.309.922,48</t>
  </si>
  <si>
    <t>13.846.453,21</t>
  </si>
  <si>
    <t>24.418.080,20</t>
  </si>
  <si>
    <t>484.121.958,51</t>
  </si>
  <si>
    <t>17.348.337,79</t>
  </si>
  <si>
    <t>75.745.879,33</t>
  </si>
  <si>
    <t>20.841.981,80</t>
  </si>
  <si>
    <t>5.100.622,57</t>
  </si>
  <si>
    <t>3.411.680,96</t>
  </si>
  <si>
    <t>113.999.308,48</t>
  </si>
  <si>
    <t>49.574.081,38</t>
  </si>
  <si>
    <t>63.494.819,77</t>
  </si>
  <si>
    <t>26443 - Empresa Brasileira de Serviços Hospitalares</t>
  </si>
  <si>
    <t>7.662.136.994,33</t>
  </si>
  <si>
    <t>291.327.115,99</t>
  </si>
  <si>
    <t>369.866.643,87</t>
  </si>
  <si>
    <t>1.048.619.169,70</t>
  </si>
  <si>
    <t>180.727.363,82</t>
  </si>
  <si>
    <t>316.128.352,47</t>
  </si>
  <si>
    <t>455.156.420,55</t>
  </si>
  <si>
    <t>370.698.387,70</t>
  </si>
  <si>
    <t>588.633.787,19</t>
  </si>
  <si>
    <t>360.330.289,42</t>
  </si>
  <si>
    <t>172.889.099,77</t>
  </si>
  <si>
    <t>886.291.313,87</t>
  </si>
  <si>
    <t>26291 - Fundação Coordenação de Aperfeiçoamento de Pessoal de Nível Superior</t>
  </si>
  <si>
    <t>211.247.168,94</t>
  </si>
  <si>
    <t>709.460.152,27</t>
  </si>
  <si>
    <t>- 996.549.911,26</t>
  </si>
  <si>
    <t>1.095.991.734,91</t>
  </si>
  <si>
    <t>237.535.974,84</t>
  </si>
  <si>
    <t>1.650.044.974,49</t>
  </si>
  <si>
    <t>169.384.290,25</t>
  </si>
  <si>
    <t>384.215.018,56</t>
  </si>
  <si>
    <t>376.775.137,16</t>
  </si>
  <si>
    <t>239.760.633,95</t>
  </si>
  <si>
    <t>690.187.403,75</t>
  </si>
  <si>
    <t>166.083.066,33</t>
  </si>
  <si>
    <t>26292 - Fundação Joaquim Nabuco</t>
  </si>
  <si>
    <t>116.209.323,27</t>
  </si>
  <si>
    <t>2.738.889,07</t>
  </si>
  <si>
    <t>20.005.853,97</t>
  </si>
  <si>
    <t>- 1.048.766,33</t>
  </si>
  <si>
    <t>263.391,30</t>
  </si>
  <si>
    <t>1.608.281,48</t>
  </si>
  <si>
    <t>370.574,98</t>
  </si>
  <si>
    <t>- 1.660.793,50</t>
  </si>
  <si>
    <t>5.066.181,31</t>
  </si>
  <si>
    <t>- 350.035,40</t>
  </si>
  <si>
    <t>566.220,87</t>
  </si>
  <si>
    <t>2.246.227,71</t>
  </si>
  <si>
    <t>26271 - Fundação Universidade de Brasília</t>
  </si>
  <si>
    <t>10.691.244,21</t>
  </si>
  <si>
    <t>28.955.999,59</t>
  </si>
  <si>
    <t>48.804.383,50</t>
  </si>
  <si>
    <t>47.797.907,35</t>
  </si>
  <si>
    <t>168.490.639,18</t>
  </si>
  <si>
    <t>59.606.788,69</t>
  </si>
  <si>
    <t>10.564.798,46</t>
  </si>
  <si>
    <t>97.239.236,43</t>
  </si>
  <si>
    <t>36.388.922,13</t>
  </si>
  <si>
    <t>14.865.075,26</t>
  </si>
  <si>
    <t>1.920.474.392,35</t>
  </si>
  <si>
    <t>10.553.253,02</t>
  </si>
  <si>
    <t>26270 - Fundação Universidade do Amazonas</t>
  </si>
  <si>
    <t>845.242.748,53</t>
  </si>
  <si>
    <t>38.098.386,10</t>
  </si>
  <si>
    <t>6.761.882,06</t>
  </si>
  <si>
    <t>22.967.672,51</t>
  </si>
  <si>
    <t>12.583.669,16</t>
  </si>
  <si>
    <t>10.027.170,67</t>
  </si>
  <si>
    <t>11.771.985,02</t>
  </si>
  <si>
    <t>41.699.499,54</t>
  </si>
  <si>
    <t>20.554.632,60</t>
  </si>
  <si>
    <t>26.059.109,08</t>
  </si>
  <si>
    <t>11.682.634,01</t>
  </si>
  <si>
    <t>9.236.160,29</t>
  </si>
  <si>
    <t>26272 - Fundação Universidade do Maranhão</t>
  </si>
  <si>
    <t>36.541.719,27</t>
  </si>
  <si>
    <t>26.716.761,29</t>
  </si>
  <si>
    <t>40.000.196,49</t>
  </si>
  <si>
    <t>41.326.900,63</t>
  </si>
  <si>
    <t>6.653.835,78</t>
  </si>
  <si>
    <t>11.026.763,80</t>
  </si>
  <si>
    <t>55.980.468,75</t>
  </si>
  <si>
    <t>8.894.118,80</t>
  </si>
  <si>
    <t>22.066.555,39</t>
  </si>
  <si>
    <t>58.797.918,16</t>
  </si>
  <si>
    <t>101.990.275,56</t>
  </si>
  <si>
    <t>787.768.840,38</t>
  </si>
  <si>
    <t>26350 - Fundação Universidade Federal da Grande Dourados</t>
  </si>
  <si>
    <t>470.436,21</t>
  </si>
  <si>
    <t>4.784.463,71</t>
  </si>
  <si>
    <t>10.077.207,25</t>
  </si>
  <si>
    <t>3.749.938,68</t>
  </si>
  <si>
    <t>1.624.450,91</t>
  </si>
  <si>
    <t>7.206.216,94</t>
  </si>
  <si>
    <t>5.751.792,87</t>
  </si>
  <si>
    <t>16.377.969,75</t>
  </si>
  <si>
    <t>6.960.188,09</t>
  </si>
  <si>
    <t>305.562.347,57</t>
  </si>
  <si>
    <t>9.857.585,97</t>
  </si>
  <si>
    <t>3.018.289,43</t>
  </si>
  <si>
    <t>26284 - Fundação Universidade Federal de Ciências da Saúde de Porto Alegre</t>
  </si>
  <si>
    <t>1.717.776,29</t>
  </si>
  <si>
    <t>8.631.343,35</t>
  </si>
  <si>
    <t>1.153.448,26</t>
  </si>
  <si>
    <t>1.506.503,32</t>
  </si>
  <si>
    <t>17.251.332,62</t>
  </si>
  <si>
    <t>2.841.965,81</t>
  </si>
  <si>
    <t>148.268.069,31</t>
  </si>
  <si>
    <t>1.029.473,53</t>
  </si>
  <si>
    <t>7.036.992,67</t>
  </si>
  <si>
    <t>13.888.083,54</t>
  </si>
  <si>
    <t>18.836.801,73</t>
  </si>
  <si>
    <t>4.078.608,33</t>
  </si>
  <si>
    <t>26278 - Fundação Universidade Federal de Pelotas</t>
  </si>
  <si>
    <t>15.837.373,39</t>
  </si>
  <si>
    <t>42.848.901,57</t>
  </si>
  <si>
    <t>27.870.483,29</t>
  </si>
  <si>
    <t>40.876.100,22</t>
  </si>
  <si>
    <t>8.021.205,73</t>
  </si>
  <si>
    <t>32.544.436,44</t>
  </si>
  <si>
    <t>793.107.309,92</t>
  </si>
  <si>
    <t>- 10.625.234,55</t>
  </si>
  <si>
    <t>11.596.502,91</t>
  </si>
  <si>
    <t>6.108.113,70</t>
  </si>
  <si>
    <t>23.463.919,80</t>
  </si>
  <si>
    <t>25.345.025,81</t>
  </si>
  <si>
    <t>26268 - Fundação Universidade Federal de Rondônia</t>
  </si>
  <si>
    <t>3.126.144,27</t>
  </si>
  <si>
    <t>7.054.552,39</t>
  </si>
  <si>
    <t>28.993.724,25</t>
  </si>
  <si>
    <t>3.659.926,95</t>
  </si>
  <si>
    <t>38.517.761,20</t>
  </si>
  <si>
    <t>18.731.957,07</t>
  </si>
  <si>
    <t>50.323.385,37</t>
  </si>
  <si>
    <t>49.879.293,68</t>
  </si>
  <si>
    <t>75.831.811,79</t>
  </si>
  <si>
    <t>12.318.417,61</t>
  </si>
  <si>
    <t>69.372.144,97</t>
  </si>
  <si>
    <t>29.031.828,69</t>
  </si>
  <si>
    <t>26281 - Fundação Universidade Federal de Sergipe</t>
  </si>
  <si>
    <t>- 26.581.414,69</t>
  </si>
  <si>
    <t>27.949.898,45</t>
  </si>
  <si>
    <t>11.850.636,11</t>
  </si>
  <si>
    <t>757.273.185,29</t>
  </si>
  <si>
    <t>33.958.673,34</t>
  </si>
  <si>
    <t>35.321.970,27</t>
  </si>
  <si>
    <t>21.973.387,25</t>
  </si>
  <si>
    <t>13.127.568,75</t>
  </si>
  <si>
    <t>96.284.285,87</t>
  </si>
  <si>
    <t>30.552.450,38</t>
  </si>
  <si>
    <t>13.879.172,56</t>
  </si>
  <si>
    <t>19.139.144,33</t>
  </si>
  <si>
    <t>26280 - Fundação Universidade Federal de São Carlos</t>
  </si>
  <si>
    <t>79.252.771,26</t>
  </si>
  <si>
    <t>59.425.320,29</t>
  </si>
  <si>
    <t>49.526.223,61</t>
  </si>
  <si>
    <t>89.000.759,60</t>
  </si>
  <si>
    <t>72.219.110,30</t>
  </si>
  <si>
    <t>84.612.286,79</t>
  </si>
  <si>
    <t>65.326.986,97</t>
  </si>
  <si>
    <t>64.524.012,74</t>
  </si>
  <si>
    <t>62.827.386,46</t>
  </si>
  <si>
    <t>68.014.471,86</t>
  </si>
  <si>
    <t>58.630.043,06</t>
  </si>
  <si>
    <t>77.807.566,44</t>
  </si>
  <si>
    <t>26285 - Fundação Universidade Federal de São João Del-Rei</t>
  </si>
  <si>
    <t>9.454.832,79</t>
  </si>
  <si>
    <t>5.659.956,00</t>
  </si>
  <si>
    <t>19.093.364,63</t>
  </si>
  <si>
    <t>6.847.289,95</t>
  </si>
  <si>
    <t>3.584.395,36</t>
  </si>
  <si>
    <t>16.734.690,58</t>
  </si>
  <si>
    <t>693.201,23</t>
  </si>
  <si>
    <t>32.170.298,99</t>
  </si>
  <si>
    <t>- 1.065.537,54</t>
  </si>
  <si>
    <t>2.290.126,79</t>
  </si>
  <si>
    <t>330.647.644,58</t>
  </si>
  <si>
    <t>10.415.036,84</t>
  </si>
  <si>
    <t>26274 - Fundação Universidade Federal de Uberlândia</t>
  </si>
  <si>
    <t>23.098.448,51</t>
  </si>
  <si>
    <t>24.042.871,54</t>
  </si>
  <si>
    <t>24.114.522,38</t>
  </si>
  <si>
    <t>40.001.311,29</t>
  </si>
  <si>
    <t>7.213.090,85</t>
  </si>
  <si>
    <t>- 12.304.582,55</t>
  </si>
  <si>
    <t>11.667.215,41</t>
  </si>
  <si>
    <t>38.743.422,46</t>
  </si>
  <si>
    <t>48.721.765,97</t>
  </si>
  <si>
    <t>13.241.861,58</t>
  </si>
  <si>
    <t>- 14.451.559,14</t>
  </si>
  <si>
    <t>1.521.196.146,80</t>
  </si>
  <si>
    <t>26352 - Fundação Universidade Federal do ABC</t>
  </si>
  <si>
    <t>35.792.670,41</t>
  </si>
  <si>
    <t>25.513.951,27</t>
  </si>
  <si>
    <t>31.462.708,09</t>
  </si>
  <si>
    <t>34.308.753,32</t>
  </si>
  <si>
    <t>27.780.238,99</t>
  </si>
  <si>
    <t>52.317.275,59</t>
  </si>
  <si>
    <t>28.305.011,31</t>
  </si>
  <si>
    <t>38.567.962,68</t>
  </si>
  <si>
    <t>34.834.681,13</t>
  </si>
  <si>
    <t>30.786.083,31</t>
  </si>
  <si>
    <t>48.534.075,43</t>
  </si>
  <si>
    <t>26.564.373,58</t>
  </si>
  <si>
    <t>26275 - Fundação Universidade Federal do Acre</t>
  </si>
  <si>
    <t>11.858.129,01</t>
  </si>
  <si>
    <t>2.456.617,15</t>
  </si>
  <si>
    <t>21.072.693,63</t>
  </si>
  <si>
    <t>4.796.120,45</t>
  </si>
  <si>
    <t>7.252.500,63</t>
  </si>
  <si>
    <t>1.277.142,44</t>
  </si>
  <si>
    <t>374.578.745,93</t>
  </si>
  <si>
    <t>16.647.497,23</t>
  </si>
  <si>
    <t>- 732.097,14</t>
  </si>
  <si>
    <t>8.230.998,95</t>
  </si>
  <si>
    <t>11.224.636,61</t>
  </si>
  <si>
    <t>3.369.088,43</t>
  </si>
  <si>
    <t>26286 - Fundação Universidade Federal do Amapá</t>
  </si>
  <si>
    <t>207.834.379,77</t>
  </si>
  <si>
    <t>6.531.241,70</t>
  </si>
  <si>
    <t>- 191.132,16</t>
  </si>
  <si>
    <t>3.430.765,92</t>
  </si>
  <si>
    <t>45.781.061,43</t>
  </si>
  <si>
    <t>9.364.817,93</t>
  </si>
  <si>
    <t>2.538.288,35</t>
  </si>
  <si>
    <t>8.278.148,99</t>
  </si>
  <si>
    <t>18.055.994,44</t>
  </si>
  <si>
    <t>14.722.395,70</t>
  </si>
  <si>
    <t>5.381.702,58</t>
  </si>
  <si>
    <t>2.277.073,84</t>
  </si>
  <si>
    <t>26276 - Fundação Universidade Federal do Mato Grosso</t>
  </si>
  <si>
    <t>4.706.890,19</t>
  </si>
  <si>
    <t>13.471.727,39</t>
  </si>
  <si>
    <t>918.302.612,47</t>
  </si>
  <si>
    <t>9.641.789,73</t>
  </si>
  <si>
    <t>25.560.813,63</t>
  </si>
  <si>
    <t>8.792.279,30</t>
  </si>
  <si>
    <t>18.788.507,30</t>
  </si>
  <si>
    <t>35.203.771,53</t>
  </si>
  <si>
    <t>4.189.457,51</t>
  </si>
  <si>
    <t>45.413.535,38</t>
  </si>
  <si>
    <t>33.188.512,21</t>
  </si>
  <si>
    <t>10.086.766,31</t>
  </si>
  <si>
    <t>26283 - Fundação Universidade Federal do Mato Grosso do Sul</t>
  </si>
  <si>
    <t>12.706.636,19</t>
  </si>
  <si>
    <t>10.309.704,46</t>
  </si>
  <si>
    <t>71.356.713,39</t>
  </si>
  <si>
    <t>12.481.474,07</t>
  </si>
  <si>
    <t>11.602.901,87</t>
  </si>
  <si>
    <t>9.582.893,37</t>
  </si>
  <si>
    <t>23.599.152,21</t>
  </si>
  <si>
    <t>85.566.943,76</t>
  </si>
  <si>
    <t>89.609.187,74</t>
  </si>
  <si>
    <t>800.551.745,77</t>
  </si>
  <si>
    <t>9.938.786,83</t>
  </si>
  <si>
    <t>56.495.090,06</t>
  </si>
  <si>
    <t>26266 - Fundação Universidade Federal do Pampa</t>
  </si>
  <si>
    <t>10.142.186,85</t>
  </si>
  <si>
    <t>- 2.019.827,03</t>
  </si>
  <si>
    <t>3.493.655,42</t>
  </si>
  <si>
    <t>1.736.689,10</t>
  </si>
  <si>
    <t>6.616.050,42</t>
  </si>
  <si>
    <t>3.998.865,82</t>
  </si>
  <si>
    <t>5.193.975,69</t>
  </si>
  <si>
    <t>368.946.735,70</t>
  </si>
  <si>
    <t>8.058.637,55</t>
  </si>
  <si>
    <t>6.887.992,07</t>
  </si>
  <si>
    <t>26.853.190,52</t>
  </si>
  <si>
    <t>6.060.058,66</t>
  </si>
  <si>
    <t>26279 - Fundação Universidade Federal do Piauí</t>
  </si>
  <si>
    <t>53.877.051,87</t>
  </si>
  <si>
    <t>74.112.140,83</t>
  </si>
  <si>
    <t>7.429.645,20</t>
  </si>
  <si>
    <t>184.211.673,10</t>
  </si>
  <si>
    <t>116.821.696,18</t>
  </si>
  <si>
    <t>95.521.682,52</t>
  </si>
  <si>
    <t>93.478.264,07</t>
  </si>
  <si>
    <t>75.942.439,25</t>
  </si>
  <si>
    <t>100.857.319,51</t>
  </si>
  <si>
    <t>56.020.625,36</t>
  </si>
  <si>
    <t>99.019.429,49</t>
  </si>
  <si>
    <t>53.338.927,22</t>
  </si>
  <si>
    <t>26251 - Fundação Universidade Federal do Tocantins</t>
  </si>
  <si>
    <t>- 1.996.002,95</t>
  </si>
  <si>
    <t>2.029.680,15</t>
  </si>
  <si>
    <t>302.029.472,23</t>
  </si>
  <si>
    <t>3.012.043,14</t>
  </si>
  <si>
    <t>8.995.217,19</t>
  </si>
  <si>
    <t>23.735.338,75</t>
  </si>
  <si>
    <t>6.993.168,67</t>
  </si>
  <si>
    <t>9.424.995,86</t>
  </si>
  <si>
    <t>6.030.031,21</t>
  </si>
  <si>
    <t>17.167.864,47</t>
  </si>
  <si>
    <t>5.459.065,63</t>
  </si>
  <si>
    <t>11.324.086,43</t>
  </si>
  <si>
    <t>26230 - Fundação Universidade Federal do Vale do São Francisco</t>
  </si>
  <si>
    <t>25.284.799,53</t>
  </si>
  <si>
    <t>171.446.738,40</t>
  </si>
  <si>
    <t>1.570.246,08</t>
  </si>
  <si>
    <t>20.496.992,09</t>
  </si>
  <si>
    <t>20.942.313,73</t>
  </si>
  <si>
    <t>34.320.370,10</t>
  </si>
  <si>
    <t>18.886.808,52</t>
  </si>
  <si>
    <t>8.717.653,49</t>
  </si>
  <si>
    <t>13.128.993,72</t>
  </si>
  <si>
    <t>10.635.144,78</t>
  </si>
  <si>
    <t>17.222.043,25</t>
  </si>
  <si>
    <t>5.560.990,85</t>
  </si>
  <si>
    <t>26298 - Fundo Nacional de Desenvolvimento da Educação</t>
  </si>
  <si>
    <t>1.492.673.010,54</t>
  </si>
  <si>
    <t>29.061.130.473,95</t>
  </si>
  <si>
    <t>45.771.004.604,41</t>
  </si>
  <si>
    <t>3.498.270.790,00</t>
  </si>
  <si>
    <t>1.377.780.431,09</t>
  </si>
  <si>
    <t>369.247.364,79</t>
  </si>
  <si>
    <t>3.634.258.718,50</t>
  </si>
  <si>
    <t>2.541.897.702,98</t>
  </si>
  <si>
    <t>3.624.691.839,19</t>
  </si>
  <si>
    <t>1.893.487.797,79</t>
  </si>
  <si>
    <t>760.598.777,17</t>
  </si>
  <si>
    <t>563.876.857,60</t>
  </si>
  <si>
    <t>26294 - Hospital de Clínicas de Porto Alegre</t>
  </si>
  <si>
    <t>204.804.284,58</t>
  </si>
  <si>
    <t>156.887.478,32</t>
  </si>
  <si>
    <t>171.491.344,40</t>
  </si>
  <si>
    <t>166.872.279,09</t>
  </si>
  <si>
    <t>256.071.556,34</t>
  </si>
  <si>
    <t>155.467.587,14</t>
  </si>
  <si>
    <t>163.960.268,90</t>
  </si>
  <si>
    <t>175.690.434,62</t>
  </si>
  <si>
    <t>175.480.893,13</t>
  </si>
  <si>
    <t>242.072.576,45</t>
  </si>
  <si>
    <t>163.309.224,31</t>
  </si>
  <si>
    <t>146.375.116,10</t>
  </si>
  <si>
    <t>26404 - Instituto Federal de Educação, Ciência e Tecnologia Baiano</t>
  </si>
  <si>
    <t>2.582.968,23</t>
  </si>
  <si>
    <t>11.770.318,16</t>
  </si>
  <si>
    <t>292.049.139,10</t>
  </si>
  <si>
    <t>16.839.344,61</t>
  </si>
  <si>
    <t>10.602.280,94</t>
  </si>
  <si>
    <t>80.028.587,75</t>
  </si>
  <si>
    <t>3.197.739,54</t>
  </si>
  <si>
    <t>15.910.494,64</t>
  </si>
  <si>
    <t>3.978.465,45</t>
  </si>
  <si>
    <t>7.915.161,84</t>
  </si>
  <si>
    <t>7.463.639,74</t>
  </si>
  <si>
    <t>10.484.858,54</t>
  </si>
  <si>
    <t>26422 - Instituto Federal de Educação, Ciência e Tecnologia Catarinense</t>
  </si>
  <si>
    <t>409.828.930,35</t>
  </si>
  <si>
    <t>5.397.157,04</t>
  </si>
  <si>
    <t>12.052.134,50</t>
  </si>
  <si>
    <t>7.899.411,06</t>
  </si>
  <si>
    <t>3.864.762,08</t>
  </si>
  <si>
    <t>13.362.961,56</t>
  </si>
  <si>
    <t>11.175.205,24</t>
  </si>
  <si>
    <t>5.607.619,25</t>
  </si>
  <si>
    <t>2.922.632,18</t>
  </si>
  <si>
    <t>24.710.723,45</t>
  </si>
  <si>
    <t>4.598.649,24</t>
  </si>
  <si>
    <t>11.299.606,42</t>
  </si>
  <si>
    <t>26427 - Instituto Federal de Educação, Ciência e Tecnologia da Bahia</t>
  </si>
  <si>
    <t>6.959.047,98</t>
  </si>
  <si>
    <t>3.889.594,81</t>
  </si>
  <si>
    <t>29.781.204,39</t>
  </si>
  <si>
    <t>32.677.188,44</t>
  </si>
  <si>
    <t>35.131.030,69</t>
  </si>
  <si>
    <t>3.791.274,87</t>
  </si>
  <si>
    <t>8.363.478,78</t>
  </si>
  <si>
    <t>26.840.120,04</t>
  </si>
  <si>
    <t>22.513.824,44</t>
  </si>
  <si>
    <t>- 9.209.625,88</t>
  </si>
  <si>
    <t>2.787.591,81</t>
  </si>
  <si>
    <t>660.006.163,93</t>
  </si>
  <si>
    <t>26417 - Instituto Federal de Educação, Ciência e Tecnologia da Paraíba</t>
  </si>
  <si>
    <t>4.627.064,71</t>
  </si>
  <si>
    <t>6.731.022,56</t>
  </si>
  <si>
    <t>20.097.827,66</t>
  </si>
  <si>
    <t>11.310.732,58</t>
  </si>
  <si>
    <t>3.014.387,32</t>
  </si>
  <si>
    <t>45.676.620,15</t>
  </si>
  <si>
    <t>26.636.656,23</t>
  </si>
  <si>
    <t>13.877.172,65</t>
  </si>
  <si>
    <t>43.231.315,81</t>
  </si>
  <si>
    <t>15.487.789,15</t>
  </si>
  <si>
    <t>115.749.114,46</t>
  </si>
  <si>
    <t>465.484.205,03</t>
  </si>
  <si>
    <t>26402 - Instituto Federal de Educação, Ciência e Tecnologia de Alagoas</t>
  </si>
  <si>
    <t>15.970.144,91</t>
  </si>
  <si>
    <t>8.397.123,07</t>
  </si>
  <si>
    <t>6.718.951,47</t>
  </si>
  <si>
    <t>397.249.706,22</t>
  </si>
  <si>
    <t>- 3.223.496,98</t>
  </si>
  <si>
    <t>4.131.514,27</t>
  </si>
  <si>
    <t>14.801.891,20</t>
  </si>
  <si>
    <t>6.344.750,84</t>
  </si>
  <si>
    <t>21.536.222,60</t>
  </si>
  <si>
    <t>25.886.768,07</t>
  </si>
  <si>
    <t>10.884.453,95</t>
  </si>
  <si>
    <t>10.650.547,64</t>
  </si>
  <si>
    <t>26428 - Instituto Federal de Educação, Ciência e Tecnologia de Brasília</t>
  </si>
  <si>
    <t>553.617,37</t>
  </si>
  <si>
    <t>134.639.291,22</t>
  </si>
  <si>
    <t>23.352.786,52</t>
  </si>
  <si>
    <t>17.499.177,00</t>
  </si>
  <si>
    <t>11.075.750,76</t>
  </si>
  <si>
    <t>2.992.945,59</t>
  </si>
  <si>
    <t>23.030.245,90</t>
  </si>
  <si>
    <t>116.824.154,13</t>
  </si>
  <si>
    <t>2.203.427,64</t>
  </si>
  <si>
    <t>3.313.477,30</t>
  </si>
  <si>
    <t>1.620.164,27</t>
  </si>
  <si>
    <t>14.662.265,12</t>
  </si>
  <si>
    <t>26429 - Instituto Federal de Educação, Ciência e Tecnologia de Goiás</t>
  </si>
  <si>
    <t>2.110.392,40</t>
  </si>
  <si>
    <t>1.981.150,94</t>
  </si>
  <si>
    <t>3.610.247,88</t>
  </si>
  <si>
    <t>536.377,85</t>
  </si>
  <si>
    <t>20.901.643,14</t>
  </si>
  <si>
    <t>7.292.412,10</t>
  </si>
  <si>
    <t>25.007.888,01</t>
  </si>
  <si>
    <t>32.060.137,62</t>
  </si>
  <si>
    <t>10.608.153,95</t>
  </si>
  <si>
    <t>8.746.692,05</t>
  </si>
  <si>
    <t>15.581.181,27</t>
  </si>
  <si>
    <t>512.023.136,90</t>
  </si>
  <si>
    <t>26409 - Instituto Federal de Educação, Ciência e Tecnologia de Minas Gerais</t>
  </si>
  <si>
    <t>10.307.059,18</t>
  </si>
  <si>
    <t>23.321.323,16</t>
  </si>
  <si>
    <t>13.787.693,35</t>
  </si>
  <si>
    <t>9.120.114,98</t>
  </si>
  <si>
    <t>982.028,58</t>
  </si>
  <si>
    <t>8.755.054,09</t>
  </si>
  <si>
    <t>8.949.350,10</t>
  </si>
  <si>
    <t>627.517,59</t>
  </si>
  <si>
    <t>2.511.305,66</t>
  </si>
  <si>
    <t>4.947.570,73</t>
  </si>
  <si>
    <t>14.695.415,50</t>
  </si>
  <si>
    <t>466.845.136,24</t>
  </si>
  <si>
    <t>26418 - Instituto Federal de Educação, Ciência e Tecnologia de Pernambuco</t>
  </si>
  <si>
    <t>5.628.205,02</t>
  </si>
  <si>
    <t>6.801.820,10</t>
  </si>
  <si>
    <t>116.052.923,10</t>
  </si>
  <si>
    <t>196.956.221,08</t>
  </si>
  <si>
    <t>26.616.725,53</t>
  </si>
  <si>
    <t>75.217.346,15</t>
  </si>
  <si>
    <t>25.447.162,71</t>
  </si>
  <si>
    <t>121.440.962,37</t>
  </si>
  <si>
    <t>23.516.239,14</t>
  </si>
  <si>
    <t>6.578.250,83</t>
  </si>
  <si>
    <t>49.866.191,12</t>
  </si>
  <si>
    <t>69.783.088,74</t>
  </si>
  <si>
    <t>26421 - Instituto Federal de Educação, Ciência e Tecnologia de Rondônia</t>
  </si>
  <si>
    <t>44.819.218,70</t>
  </si>
  <si>
    <t>1.656.924,11</t>
  </si>
  <si>
    <t>1.723.022,43</t>
  </si>
  <si>
    <t>- 486.391,25</t>
  </si>
  <si>
    <t>14.629.319,02</t>
  </si>
  <si>
    <t>21.594.947,65</t>
  </si>
  <si>
    <t>14.570.953,13</t>
  </si>
  <si>
    <t>896.436,36</t>
  </si>
  <si>
    <t>24.994.074,57</t>
  </si>
  <si>
    <t>2.127.834,91</t>
  </si>
  <si>
    <t>234.373.846,75</t>
  </si>
  <si>
    <t>6.762.416,44</t>
  </si>
  <si>
    <t>26437 - Instituto Federal de Educação, Ciência e Tecnologia de Roraima</t>
  </si>
  <si>
    <t>24.057.478,94</t>
  </si>
  <si>
    <t>29.732.956,65</t>
  </si>
  <si>
    <t>16.403.327,34</t>
  </si>
  <si>
    <t>20.882.937,73</t>
  </si>
  <si>
    <t>6.505.241,47</t>
  </si>
  <si>
    <t>16.839.257,10</t>
  </si>
  <si>
    <t>3.194.243,39</t>
  </si>
  <si>
    <t>6.400.798,04</t>
  </si>
  <si>
    <t>13.215.386,13</t>
  </si>
  <si>
    <t>16.708.140,36</t>
  </si>
  <si>
    <t>8.491.520,78</t>
  </si>
  <si>
    <t>36.519.180,88</t>
  </si>
  <si>
    <t>26438 - Instituto Federal de Educação, Ciência e Tecnologia de Santa Catarina</t>
  </si>
  <si>
    <t>165.077.360,64</t>
  </si>
  <si>
    <t>264.625.854,96</t>
  </si>
  <si>
    <t>6.693.233,29</t>
  </si>
  <si>
    <t>9.218.542,66</t>
  </si>
  <si>
    <t>16.587.433,57</t>
  </si>
  <si>
    <t>80.707.811,70</t>
  </si>
  <si>
    <t>12.289.493,86</t>
  </si>
  <si>
    <t>179.295.475,09</t>
  </si>
  <si>
    <t>5.340.300,25</t>
  </si>
  <si>
    <t>34.178.012,58</t>
  </si>
  <si>
    <t>10.812.191,31</t>
  </si>
  <si>
    <t>5.599.521,10</t>
  </si>
  <si>
    <t>26423 - Instituto Federal de Educação, Ciência e Tecnologia de Sergipe</t>
  </si>
  <si>
    <t>3.232.296,86</t>
  </si>
  <si>
    <t>6.559.307,01</t>
  </si>
  <si>
    <t>4.172.487,37</t>
  </si>
  <si>
    <t>12.209.854,75</t>
  </si>
  <si>
    <t>24.454.948,07</t>
  </si>
  <si>
    <t>17.975.188,66</t>
  </si>
  <si>
    <t>9.978.922,09</t>
  </si>
  <si>
    <t>28.016.235,74</t>
  </si>
  <si>
    <t>- 1.331.228,43</t>
  </si>
  <si>
    <t>26.776.327,39</t>
  </si>
  <si>
    <t>1.450.798,70</t>
  </si>
  <si>
    <t>225.826.690,74</t>
  </si>
  <si>
    <t>26439 - Instituto Federal de Educação, Ciência e Tecnologia de São Paulo</t>
  </si>
  <si>
    <t>77.232.754,23</t>
  </si>
  <si>
    <t>8.440.293,41</t>
  </si>
  <si>
    <t>11.893.370,95</t>
  </si>
  <si>
    <t>9.407.871,96</t>
  </si>
  <si>
    <t>50.093.788,27</t>
  </si>
  <si>
    <t>35.669.731,67</t>
  </si>
  <si>
    <t>14.339.960,29</t>
  </si>
  <si>
    <t>49.855.079,76</t>
  </si>
  <si>
    <t>6.960.333,37</t>
  </si>
  <si>
    <t>23.588.966,89</t>
  </si>
  <si>
    <t>20.272.874,80</t>
  </si>
  <si>
    <t>1.068.888.352,99</t>
  </si>
  <si>
    <t>26425 - Instituto Federal de Educação, Ciência e Tecnologia do Acre</t>
  </si>
  <si>
    <t>6.077.958,52</t>
  </si>
  <si>
    <t>4.387.478,42</t>
  </si>
  <si>
    <t>3.644.934,35</t>
  </si>
  <si>
    <t>1.134.649,35</t>
  </si>
  <si>
    <t>1.243.625,39</t>
  </si>
  <si>
    <t>1.279.051,97</t>
  </si>
  <si>
    <t>3.427.740,35</t>
  </si>
  <si>
    <t>126.772.726,45</t>
  </si>
  <si>
    <t>1.644.215,01</t>
  </si>
  <si>
    <t>7.953.919,39</t>
  </si>
  <si>
    <t>545.904,61</t>
  </si>
  <si>
    <t>12.028.031,69</t>
  </si>
  <si>
    <t>26426 - Instituto Federal de Educação, Ciência e Tecnologia do Amapá</t>
  </si>
  <si>
    <t>9.199.291,19</t>
  </si>
  <si>
    <t>106.330.522,06</t>
  </si>
  <si>
    <t>1.620.301,57</t>
  </si>
  <si>
    <t>6.207.849,63</t>
  </si>
  <si>
    <t>284.046,16</t>
  </si>
  <si>
    <t>- 2.740.017,12</t>
  </si>
  <si>
    <t>7.328.365,18</t>
  </si>
  <si>
    <t>5.198.729,47</t>
  </si>
  <si>
    <t>4.370.302,05</t>
  </si>
  <si>
    <t>- 696.309,02</t>
  </si>
  <si>
    <t>2.104.499,83</t>
  </si>
  <si>
    <t>793.668,30</t>
  </si>
  <si>
    <t>26403 - Instituto Federal de Educação, Ciência e Tecnologia do Amazonas</t>
  </si>
  <si>
    <t>395.261.668,26</t>
  </si>
  <si>
    <t>16.035.398,24</t>
  </si>
  <si>
    <t>4.371.686,05</t>
  </si>
  <si>
    <t>42.872.077,21</t>
  </si>
  <si>
    <t>4.480.514,60</t>
  </si>
  <si>
    <t>2.098.982,11</t>
  </si>
  <si>
    <t>32.123.836,30</t>
  </si>
  <si>
    <t>110.419,10</t>
  </si>
  <si>
    <t>19.891.543,68</t>
  </si>
  <si>
    <t>8.955.782,21</t>
  </si>
  <si>
    <t>9.338.390,60</t>
  </si>
  <si>
    <t>6.735.322,69</t>
  </si>
  <si>
    <t>26405 - Instituto Federal de Educação, Ciência e Tecnologia do Ceará</t>
  </si>
  <si>
    <t>62.028.233,57</t>
  </si>
  <si>
    <t>76.495.757,39</t>
  </si>
  <si>
    <t>112.634.305,50</t>
  </si>
  <si>
    <t>99.873.738,83</t>
  </si>
  <si>
    <t>74.413.933,36</t>
  </si>
  <si>
    <t>102.670.690,55</t>
  </si>
  <si>
    <t>75.543.285,10</t>
  </si>
  <si>
    <t>84.047.312,40</t>
  </si>
  <si>
    <t>90.770.199,35</t>
  </si>
  <si>
    <t>141.032.113,99</t>
  </si>
  <si>
    <t>74.874.261,71</t>
  </si>
  <si>
    <t>71.305.344,06</t>
  </si>
  <si>
    <t>26406 - Instituto Federal de Educação, Ciência e Tecnologia do Espírito Santo</t>
  </si>
  <si>
    <t>42.717.621,93</t>
  </si>
  <si>
    <t>31.472.053,08</t>
  </si>
  <si>
    <t>149.869.824,54</t>
  </si>
  <si>
    <t>56.257.590,68</t>
  </si>
  <si>
    <t>99.454.231,35</t>
  </si>
  <si>
    <t>45.704.928,52</t>
  </si>
  <si>
    <t>50.493.009,80</t>
  </si>
  <si>
    <t>82.931.783,95</t>
  </si>
  <si>
    <t>65.105.330,67</t>
  </si>
  <si>
    <t>40.965.061,98</t>
  </si>
  <si>
    <t>57.573.965,35</t>
  </si>
  <si>
    <t>295.596.303,21</t>
  </si>
  <si>
    <t>26408 - Instituto Federal de Educação, Ciência e Tecnologia do Maranhão</t>
  </si>
  <si>
    <t>66.536.597,68</t>
  </si>
  <si>
    <t>120.922.281,40</t>
  </si>
  <si>
    <t>25.783.556,58</t>
  </si>
  <si>
    <t>25.083.053,48</t>
  </si>
  <si>
    <t>- 5.030.186,74</t>
  </si>
  <si>
    <t>8.844.251,12</t>
  </si>
  <si>
    <t>49.807.181,48</t>
  </si>
  <si>
    <t>31.737.510,24</t>
  </si>
  <si>
    <t>7.454.983,47</t>
  </si>
  <si>
    <t>18.220.738,36</t>
  </si>
  <si>
    <t>9.250.688,38</t>
  </si>
  <si>
    <t>619.632.646,98</t>
  </si>
  <si>
    <t>26414 - Instituto Federal de Educação, Ciência e Tecnologia do Mato Grosso</t>
  </si>
  <si>
    <t>7.140.145,29</t>
  </si>
  <si>
    <t>21.240.144,72</t>
  </si>
  <si>
    <t>7.476.151,11</t>
  </si>
  <si>
    <t>31.318.535,36</t>
  </si>
  <si>
    <t>4.319.644,15</t>
  </si>
  <si>
    <t>24.396.203,16</t>
  </si>
  <si>
    <t>12.455.569,04</t>
  </si>
  <si>
    <t>5.655.131,51</t>
  </si>
  <si>
    <t>54.401.940,07</t>
  </si>
  <si>
    <t>6.929.264,25</t>
  </si>
  <si>
    <t>26.572.493,41</t>
  </si>
  <si>
    <t>470.731.581,94</t>
  </si>
  <si>
    <t>26415 - Instituto Federal de Educação, Ciência e Tecnologia do Mato Grosso do Sul</t>
  </si>
  <si>
    <t>185.344.244,13</t>
  </si>
  <si>
    <t>2.586.639,52</t>
  </si>
  <si>
    <t>1.446.099,92</t>
  </si>
  <si>
    <t>14.685.897,01</t>
  </si>
  <si>
    <t>4.381.433,78</t>
  </si>
  <si>
    <t>3.624.739,34</t>
  </si>
  <si>
    <t>11.606.682,55</t>
  </si>
  <si>
    <t>21.837.940,78</t>
  </si>
  <si>
    <t>18.074.901,04</t>
  </si>
  <si>
    <t>12.442.981,45</t>
  </si>
  <si>
    <t>4.722.271,10</t>
  </si>
  <si>
    <t>20.043.721,53</t>
  </si>
  <si>
    <t>26410 - Instituto Federal de Educação, Ciência e Tecnologia do Norte de Minas Gerais</t>
  </si>
  <si>
    <t>4.263.343,50</t>
  </si>
  <si>
    <t>11.355.946,10</t>
  </si>
  <si>
    <t>21.622.356,59</t>
  </si>
  <si>
    <t>4.406.365,45</t>
  </si>
  <si>
    <t>11.039.586,50</t>
  </si>
  <si>
    <t>267.505.670,98</t>
  </si>
  <si>
    <t>27.441.077,76</t>
  </si>
  <si>
    <t>4.584.651,38</t>
  </si>
  <si>
    <t>- 3.158.620,30</t>
  </si>
  <si>
    <t>40.975.830,52</t>
  </si>
  <si>
    <t>4.094.631,17</t>
  </si>
  <si>
    <t>2.457.063,98</t>
  </si>
  <si>
    <t>26416 - Instituto Federal de Educação, Ciência e Tecnologia do Pará</t>
  </si>
  <si>
    <t>14.630.099,46</t>
  </si>
  <si>
    <t>- 3.836.317,59</t>
  </si>
  <si>
    <t>22.405.871,35</t>
  </si>
  <si>
    <t>40.824.815,23</t>
  </si>
  <si>
    <t>4.521.371,35</t>
  </si>
  <si>
    <t>5.891.101,45</t>
  </si>
  <si>
    <t>6.581.168,04</t>
  </si>
  <si>
    <t>12.738.143,06</t>
  </si>
  <si>
    <t>23.651.809,81</t>
  </si>
  <si>
    <t>3.207.930,63</t>
  </si>
  <si>
    <t>2.367.201,81</t>
  </si>
  <si>
    <t>555.502.014,77</t>
  </si>
  <si>
    <t>26431 - Instituto Federal de Educação, Ciência e Tecnologia do Piauí</t>
  </si>
  <si>
    <t>10.335.852,88</t>
  </si>
  <si>
    <t>27.022.701,79</t>
  </si>
  <si>
    <t>17.992.258,29</t>
  </si>
  <si>
    <t>12.947.944,46</t>
  </si>
  <si>
    <t>6.053.857,91</t>
  </si>
  <si>
    <t>7.247.187,54</t>
  </si>
  <si>
    <t>23.107.508,44</t>
  </si>
  <si>
    <t>7.609.054,43</t>
  </si>
  <si>
    <t>10.569.434,22</t>
  </si>
  <si>
    <t>9.015.815,92</t>
  </si>
  <si>
    <t>4.327.403,40</t>
  </si>
  <si>
    <t>536.192.945,31</t>
  </si>
  <si>
    <t>26433 - Instituto Federal de Educação, Ciência e Tecnologia do Rio de Janeiro</t>
  </si>
  <si>
    <t>5.100.141,50</t>
  </si>
  <si>
    <t>7.126.950,42</t>
  </si>
  <si>
    <t>11.351.424,78</t>
  </si>
  <si>
    <t>6.320.751,52</t>
  </si>
  <si>
    <t>5.309.559,97</t>
  </si>
  <si>
    <t>9.845.107,81</t>
  </si>
  <si>
    <t>88.738.461,61</t>
  </si>
  <si>
    <t>43.253.096,34</t>
  </si>
  <si>
    <t>7.568.473,38</t>
  </si>
  <si>
    <t>7.019.941,61</t>
  </si>
  <si>
    <t>309.375,44</t>
  </si>
  <si>
    <t>387.188.847,12</t>
  </si>
  <si>
    <t>26435 - Instituto Federal de Educação, Ciência e Tecnologia do Rio Grande do Norte</t>
  </si>
  <si>
    <t>1.631.463,43</t>
  </si>
  <si>
    <t>23.315.681,85</t>
  </si>
  <si>
    <t>698.928.193,92</t>
  </si>
  <si>
    <t>17.785.907,35</t>
  </si>
  <si>
    <t>4.473.392,01</t>
  </si>
  <si>
    <t>77.881.220,54</t>
  </si>
  <si>
    <t>6.954.076,35</t>
  </si>
  <si>
    <t>3.823.423,76</t>
  </si>
  <si>
    <t>19.097.877,04</t>
  </si>
  <si>
    <t>39.849.949,43</t>
  </si>
  <si>
    <t>13.887.058,34</t>
  </si>
  <si>
    <t>6.090.036,00</t>
  </si>
  <si>
    <t>26419 - Instituto Federal de Educação, Ciência e Tecnologia do Rio Grande do Sul</t>
  </si>
  <si>
    <t>14.874.586,42</t>
  </si>
  <si>
    <t>1.034.346,46</t>
  </si>
  <si>
    <t>19.184.903,60</t>
  </si>
  <si>
    <t>4.421.901,36</t>
  </si>
  <si>
    <t>4.380.536,83</t>
  </si>
  <si>
    <t>342.965.802,31</t>
  </si>
  <si>
    <t>- 6.122.581,47</t>
  </si>
  <si>
    <t>26.793.453,38</t>
  </si>
  <si>
    <t>8.502.481,71</t>
  </si>
  <si>
    <t>82.661.753,76</t>
  </si>
  <si>
    <t>56.916.120,43</t>
  </si>
  <si>
    <t>130.480.428,55</t>
  </si>
  <si>
    <t>26430 - Instituto Federal de Educação, Ciência e Tecnologia do Sertão de Pernambuco</t>
  </si>
  <si>
    <t>14.857.695,52</t>
  </si>
  <si>
    <t>4.048.858,98</t>
  </si>
  <si>
    <t>14.505.524,25</t>
  </si>
  <si>
    <t>3.300.421,62</t>
  </si>
  <si>
    <t>25.077.036,76</t>
  </si>
  <si>
    <t>184.956.969,52</t>
  </si>
  <si>
    <t>2.097.255,60</t>
  </si>
  <si>
    <t>2.361.231,43</t>
  </si>
  <si>
    <t>2.917.524,41</t>
  </si>
  <si>
    <t>6.015.420,50</t>
  </si>
  <si>
    <t>8.043.291,49</t>
  </si>
  <si>
    <t>1.057.463,14</t>
  </si>
  <si>
    <t>26411 - Instituto Federal de Educação, Ciência e Tecnologia do Sudeste de Minas Gerais</t>
  </si>
  <si>
    <t>159.208.333,74</t>
  </si>
  <si>
    <t>2.683.722,18</t>
  </si>
  <si>
    <t>12.083.653,42</t>
  </si>
  <si>
    <t>5.385.126,31</t>
  </si>
  <si>
    <t>16.347.263,23</t>
  </si>
  <si>
    <t>8.812.066,05</t>
  </si>
  <si>
    <t>171.385.450,28</t>
  </si>
  <si>
    <t>6.581.863,33</t>
  </si>
  <si>
    <t>6.434.292,61</t>
  </si>
  <si>
    <t>3.348.587,66</t>
  </si>
  <si>
    <t>2.053.553,88</t>
  </si>
  <si>
    <t>1.625.387,28</t>
  </si>
  <si>
    <t>26412 - Instituto Federal de Educação, Ciência e Tecnologia do Sul de Minas Gerais</t>
  </si>
  <si>
    <t>278.061.037,01</t>
  </si>
  <si>
    <t>12.772.452,24</t>
  </si>
  <si>
    <t>6.593.155,23</t>
  </si>
  <si>
    <t>26.929.751,32</t>
  </si>
  <si>
    <t>3.615.941,51</t>
  </si>
  <si>
    <t>6.198.118,11</t>
  </si>
  <si>
    <t>8.548.802,59</t>
  </si>
  <si>
    <t>5.811.292,97</t>
  </si>
  <si>
    <t>49.203.217,25</t>
  </si>
  <si>
    <t>12.129.638,25</t>
  </si>
  <si>
    <t>10.495.543,78</t>
  </si>
  <si>
    <t>3.952.616,04</t>
  </si>
  <si>
    <t>26424 - Instituto Federal de Educação, Ciência e Tecnologia do Tocantins</t>
  </si>
  <si>
    <t>4.384.441,71</t>
  </si>
  <si>
    <t>5.228.854,21</t>
  </si>
  <si>
    <t>12.384.377,23</t>
  </si>
  <si>
    <t>7.308.326,51</t>
  </si>
  <si>
    <t>8.779.555,91</t>
  </si>
  <si>
    <t>4.517.108,91</t>
  </si>
  <si>
    <t>54.012.874,39</t>
  </si>
  <si>
    <t>209.974.297,10</t>
  </si>
  <si>
    <t>12.092.366,31</t>
  </si>
  <si>
    <t>5.374.163,10</t>
  </si>
  <si>
    <t>18.973.128,72</t>
  </si>
  <si>
    <t>4.949.428,58</t>
  </si>
  <si>
    <t>26413 - Instituto Federal de Educação, Ciência e Tecnologia do Triângulo Mineiro</t>
  </si>
  <si>
    <t>3.195.329,45</t>
  </si>
  <si>
    <t>276.292.220,76</t>
  </si>
  <si>
    <t>13.722.598,83</t>
  </si>
  <si>
    <t>2.054.034,08</t>
  </si>
  <si>
    <t>1.327.583,08</t>
  </si>
  <si>
    <t>2.148.765,04</t>
  </si>
  <si>
    <t>11.247.711,11</t>
  </si>
  <si>
    <t>1.718.484,48</t>
  </si>
  <si>
    <t>1.943.095,88</t>
  </si>
  <si>
    <t>6.705.676,63</t>
  </si>
  <si>
    <t>- 158.097,34</t>
  </si>
  <si>
    <t>3.264.303,05</t>
  </si>
  <si>
    <t>26420 - Instituto Federal de Educação, Ciência e Tecnologia Farroupilha</t>
  </si>
  <si>
    <t>239.883.037,30</t>
  </si>
  <si>
    <t>17.102.482,38</t>
  </si>
  <si>
    <t>29.967.618,34</t>
  </si>
  <si>
    <t>27.148.898,82</t>
  </si>
  <si>
    <t>82.881.042,61</t>
  </si>
  <si>
    <t>9.609.336,37</t>
  </si>
  <si>
    <t>12.841.561,76</t>
  </si>
  <si>
    <t>5.497.291,00</t>
  </si>
  <si>
    <t>- 3.949.543,48</t>
  </si>
  <si>
    <t>1.630.655,24</t>
  </si>
  <si>
    <t>3.358.087,39</t>
  </si>
  <si>
    <t>3.567.774,58</t>
  </si>
  <si>
    <t>26434 - Instituto Federal de Educação, Ciência e Tecnologia Fluminense</t>
  </si>
  <si>
    <t>10.473.829,51</t>
  </si>
  <si>
    <t>20.975.573,89</t>
  </si>
  <si>
    <t>3.787.412,13</t>
  </si>
  <si>
    <t>5.269.732,58</t>
  </si>
  <si>
    <t>9.906.374,92</t>
  </si>
  <si>
    <t>1.573.105,69</t>
  </si>
  <si>
    <t>28.120.663,93</t>
  </si>
  <si>
    <t>18.682.156,15</t>
  </si>
  <si>
    <t>10.247.776,77</t>
  </si>
  <si>
    <t>- 2.728.183,44</t>
  </si>
  <si>
    <t>446.816.511,07</t>
  </si>
  <si>
    <t>3.756.199,82</t>
  </si>
  <si>
    <t>26407 - Instituto Federal de Educação, Ciência e Tecnologia Goiano</t>
  </si>
  <si>
    <t>5.553.623,35</t>
  </si>
  <si>
    <t>17.641.052,09</t>
  </si>
  <si>
    <t>21.805.316,15</t>
  </si>
  <si>
    <t>347.986.871,54</t>
  </si>
  <si>
    <t>17.083.929,39</t>
  </si>
  <si>
    <t>3.162.099,48</t>
  </si>
  <si>
    <t>14.577.045,68</t>
  </si>
  <si>
    <t>3.734.036,54</t>
  </si>
  <si>
    <t>- 5.334.122,39</t>
  </si>
  <si>
    <t>1.633.153,63</t>
  </si>
  <si>
    <t>31.369.939,27</t>
  </si>
  <si>
    <t>5.829.937,26</t>
  </si>
  <si>
    <t>26436 - Instituto Federal de Educação, Ciência e Tecnologia Sul-rio-grandense</t>
  </si>
  <si>
    <t>18.306.428,40</t>
  </si>
  <si>
    <t>3.818.643,13</t>
  </si>
  <si>
    <t>243.543.392,24</t>
  </si>
  <si>
    <t>- 5.791.624,79</t>
  </si>
  <si>
    <t>6.262.582,22</t>
  </si>
  <si>
    <t>10.239.888,92</t>
  </si>
  <si>
    <t>42.329.447,86</t>
  </si>
  <si>
    <t>35.280.190,18</t>
  </si>
  <si>
    <t>243.101.543,83</t>
  </si>
  <si>
    <t>5.934.785,87</t>
  </si>
  <si>
    <t>21.763.244,64</t>
  </si>
  <si>
    <t>5.932.667,26</t>
  </si>
  <si>
    <t>26432 - Instituto Federal do Paraná</t>
  </si>
  <si>
    <t>8.538.118,41</t>
  </si>
  <si>
    <t>29.736.919,78</t>
  </si>
  <si>
    <t>4.694.343,07</t>
  </si>
  <si>
    <t>- 2.385.966,86</t>
  </si>
  <si>
    <t>11.543.009,70</t>
  </si>
  <si>
    <t>11.720.625,11</t>
  </si>
  <si>
    <t>401.257.608,14</t>
  </si>
  <si>
    <t>44.809.664,47</t>
  </si>
  <si>
    <t>31.091.956,88</t>
  </si>
  <si>
    <t>48.200.216,71</t>
  </si>
  <si>
    <t>7.786.283,34</t>
  </si>
  <si>
    <t>47.053.718,47</t>
  </si>
  <si>
    <t>26290 - Instituto Nacional de Estudos e Pesquisas Educacionais Anísio Teixeira</t>
  </si>
  <si>
    <t>205.549.803,55</t>
  </si>
  <si>
    <t>31.911.199,03</t>
  </si>
  <si>
    <t>249.336.257,82</t>
  </si>
  <si>
    <t>24.935.574,25</t>
  </si>
  <si>
    <t>- 78.350.702,90</t>
  </si>
  <si>
    <t>236.813.643,49</t>
  </si>
  <si>
    <t>14.244.396,76</t>
  </si>
  <si>
    <t>6.447.585,54</t>
  </si>
  <si>
    <t>91.556.924,46</t>
  </si>
  <si>
    <t>185.679.155,09</t>
  </si>
  <si>
    <t>58.125.140,90</t>
  </si>
  <si>
    <t>- 18.275.353,40</t>
  </si>
  <si>
    <t>26000 - Ministério da Educação - Unidades com vínculo direto</t>
  </si>
  <si>
    <t>57.601.643,35</t>
  </si>
  <si>
    <t>20.449.146,11</t>
  </si>
  <si>
    <t>29.634.387,45</t>
  </si>
  <si>
    <t>481.134.564,75</t>
  </si>
  <si>
    <t>167.259.240,44</t>
  </si>
  <si>
    <t>77.387.585,56</t>
  </si>
  <si>
    <t>226.701.562,19</t>
  </si>
  <si>
    <t>56.127.969,07</t>
  </si>
  <si>
    <t>159.582.864,16</t>
  </si>
  <si>
    <t>25.182.708,84</t>
  </si>
  <si>
    <t>274.980.251,76</t>
  </si>
  <si>
    <t>119.702.856,35</t>
  </si>
  <si>
    <t>26442 - Universidade da Integração Internacional da Lusofonia Afro-Brasileira</t>
  </si>
  <si>
    <t>12.001.511,05</t>
  </si>
  <si>
    <t>- 2.160.001,00</t>
  </si>
  <si>
    <t>950.413,31</t>
  </si>
  <si>
    <t>3.006.381,30</t>
  </si>
  <si>
    <t>4.478.155,40</t>
  </si>
  <si>
    <t>81.982.020,26</t>
  </si>
  <si>
    <t>12.989.209,58</t>
  </si>
  <si>
    <t>12.183.536,87</t>
  </si>
  <si>
    <t>9.789.268,69</t>
  </si>
  <si>
    <t>69.056.858,15</t>
  </si>
  <si>
    <t>3.585.051,90</t>
  </si>
  <si>
    <t>4.059.800,65</t>
  </si>
  <si>
    <t>26232 - Universidade Federal da Bahia</t>
  </si>
  <si>
    <t>61.961.425,34</t>
  </si>
  <si>
    <t>73.797.041,22</t>
  </si>
  <si>
    <t>45.283.727,18</t>
  </si>
  <si>
    <t>38.421.935,38</t>
  </si>
  <si>
    <t>44.912.550,90</t>
  </si>
  <si>
    <t>18.295.180,33</t>
  </si>
  <si>
    <t>6.343.856,41</t>
  </si>
  <si>
    <t>24.728.375,43</t>
  </si>
  <si>
    <t>1.849.497.382,76</t>
  </si>
  <si>
    <t>115.455.618,30</t>
  </si>
  <si>
    <t>31.268.180,69</t>
  </si>
  <si>
    <t>37.880.681,29</t>
  </si>
  <si>
    <t>26440 - Universidade Federal da Fronteira Sul</t>
  </si>
  <si>
    <t>38.123.764,38</t>
  </si>
  <si>
    <t>8.685.112,25</t>
  </si>
  <si>
    <t>57.842.621,55</t>
  </si>
  <si>
    <t>135.647.325,07</t>
  </si>
  <si>
    <t>4.268.708,50</t>
  </si>
  <si>
    <t>8.541.455,12</t>
  </si>
  <si>
    <t>10.254.394,14</t>
  </si>
  <si>
    <t>41.274.822,42</t>
  </si>
  <si>
    <t>18.192.624,89</t>
  </si>
  <si>
    <t>26.531.961,07</t>
  </si>
  <si>
    <t>27.217.482,54</t>
  </si>
  <si>
    <t>3.483.430,21</t>
  </si>
  <si>
    <t>26267 - Universidade Federal da Integração Latino-Americana</t>
  </si>
  <si>
    <t>42.029.080,50</t>
  </si>
  <si>
    <t>3.177.958,67</t>
  </si>
  <si>
    <t>1.476.955,72</t>
  </si>
  <si>
    <t>3.078.093,72</t>
  </si>
  <si>
    <t>67.071.743,55</t>
  </si>
  <si>
    <t>2.467.962,42</t>
  </si>
  <si>
    <t>2.881.106,99</t>
  </si>
  <si>
    <t>10.218.463,49</t>
  </si>
  <si>
    <t>9.525.552,39</t>
  </si>
  <si>
    <t>3.742.794,41</t>
  </si>
  <si>
    <t>2.450.352,82</t>
  </si>
  <si>
    <t>67.239.011,19</t>
  </si>
  <si>
    <t>26240 - Universidade Federal da Paraíba</t>
  </si>
  <si>
    <t>84.346.799,82</t>
  </si>
  <si>
    <t>1.803.124.084,07</t>
  </si>
  <si>
    <t>42.363.272,34</t>
  </si>
  <si>
    <t>3.310.728,57</t>
  </si>
  <si>
    <t>28.480.423,93</t>
  </si>
  <si>
    <t>23.520.807,42</t>
  </si>
  <si>
    <t>24.812.253,73</t>
  </si>
  <si>
    <t>21.940.177,47</t>
  </si>
  <si>
    <t>50.690.738,65</t>
  </si>
  <si>
    <t>27.487.120,32</t>
  </si>
  <si>
    <t>8.266.077,17</t>
  </si>
  <si>
    <t>172.144.193,83</t>
  </si>
  <si>
    <t>26231 - Universidade Federal de Alagoas</t>
  </si>
  <si>
    <t>23.868.607,68</t>
  </si>
  <si>
    <t>1.023.428.980,11</t>
  </si>
  <si>
    <t>27.043.892,04</t>
  </si>
  <si>
    <t>14.337.524,11</t>
  </si>
  <si>
    <t>22.296.397,07</t>
  </si>
  <si>
    <t>10.154.589,43</t>
  </si>
  <si>
    <t>53.607.751,32</t>
  </si>
  <si>
    <t>49.949.913,10</t>
  </si>
  <si>
    <t>6.393.963,10</t>
  </si>
  <si>
    <t>11.595.475,32</t>
  </si>
  <si>
    <t>3.125.291,39</t>
  </si>
  <si>
    <t>- 8.478.082,94</t>
  </si>
  <si>
    <t>26260 - Universidade Federal de Alfenas</t>
  </si>
  <si>
    <t>44.970.366,42</t>
  </si>
  <si>
    <t>861.914,94</t>
  </si>
  <si>
    <t>15.478.585,84</t>
  </si>
  <si>
    <t>13.012.248,94</t>
  </si>
  <si>
    <t>3.925.131,54</t>
  </si>
  <si>
    <t>12.542.423,15</t>
  </si>
  <si>
    <t>11.303.619,76</t>
  </si>
  <si>
    <t>2.257.728,98</t>
  </si>
  <si>
    <t>9.133.815,69</t>
  </si>
  <si>
    <t>191.292.587,67</t>
  </si>
  <si>
    <t>7.209.577,63</t>
  </si>
  <si>
    <t>6.201.935,22</t>
  </si>
  <si>
    <t>26252 - Universidade Federal de Campina Grande</t>
  </si>
  <si>
    <t>29.135.833,69</t>
  </si>
  <si>
    <t>829.106.412,40</t>
  </si>
  <si>
    <t>7.028.140,35</t>
  </si>
  <si>
    <t>1.181.942,39</t>
  </si>
  <si>
    <t>4.915.355,81</t>
  </si>
  <si>
    <t>6.673.522,91</t>
  </si>
  <si>
    <t>20.152.044,97</t>
  </si>
  <si>
    <t>16.435.356,21</t>
  </si>
  <si>
    <t>2.088.324,11</t>
  </si>
  <si>
    <t>4.808.445,52</t>
  </si>
  <si>
    <t>7.153.288,43</t>
  </si>
  <si>
    <t>13.621.382,56</t>
  </si>
  <si>
    <t>26452 - Universidade Federal de Catalão</t>
  </si>
  <si>
    <t>4.263.907,74</t>
  </si>
  <si>
    <t>1.563.428,28</t>
  </si>
  <si>
    <t>46.344.305,11</t>
  </si>
  <si>
    <t>3.985.958,54</t>
  </si>
  <si>
    <t>19.967.507,39</t>
  </si>
  <si>
    <t>8.974.299,37</t>
  </si>
  <si>
    <t>28.327.050,19</t>
  </si>
  <si>
    <t>14.116.748,37</t>
  </si>
  <si>
    <t>4.553.287,51</t>
  </si>
  <si>
    <t>10.007.408,56</t>
  </si>
  <si>
    <t>1.176.819,62</t>
  </si>
  <si>
    <t>6.456.314,35</t>
  </si>
  <si>
    <t>26235 - Universidade Federal de Goiás</t>
  </si>
  <si>
    <t>6.865.426,34</t>
  </si>
  <si>
    <t>18.161.790,67</t>
  </si>
  <si>
    <t>21.154.824,54</t>
  </si>
  <si>
    <t>36.121.038,47</t>
  </si>
  <si>
    <t>28.352.924,00</t>
  </si>
  <si>
    <t>18.256.725,78</t>
  </si>
  <si>
    <t>81.461.929,24</t>
  </si>
  <si>
    <t>58.473.110,63</t>
  </si>
  <si>
    <t>11.411.104,63</t>
  </si>
  <si>
    <t>66.500.598,07</t>
  </si>
  <si>
    <t>9.779.352,16</t>
  </si>
  <si>
    <t>1.300.441.595,89</t>
  </si>
  <si>
    <t>26261 - Universidade Federal de Itajubá</t>
  </si>
  <si>
    <t>253.010.701,77</t>
  </si>
  <si>
    <t>6.412.510,52</t>
  </si>
  <si>
    <t>2.763.055,70</t>
  </si>
  <si>
    <t>2.948.268,26</t>
  </si>
  <si>
    <t>7.221.804,96</t>
  </si>
  <si>
    <t>3.786.816,31</t>
  </si>
  <si>
    <t>5.588.638,05</t>
  </si>
  <si>
    <t>5.614.135,49</t>
  </si>
  <si>
    <t>1.199.944,04</t>
  </si>
  <si>
    <t>2.453.186,39</t>
  </si>
  <si>
    <t>2.286.795,74</t>
  </si>
  <si>
    <t>4.697.480,00</t>
  </si>
  <si>
    <t>26453 - Universidade Federal de Jataí</t>
  </si>
  <si>
    <t>111.265.530,41</t>
  </si>
  <si>
    <t>- 212.579,42</t>
  </si>
  <si>
    <t>4.676.256,94</t>
  </si>
  <si>
    <t>4.034.862,09</t>
  </si>
  <si>
    <t>712.873,16</t>
  </si>
  <si>
    <t>- 6.576.259,02</t>
  </si>
  <si>
    <t>11.713.319,15</t>
  </si>
  <si>
    <t>- 1.624.432,91</t>
  </si>
  <si>
    <t>3.469.105,78</t>
  </si>
  <si>
    <t>2.130.336,53</t>
  </si>
  <si>
    <t>6.042.673,42</t>
  </si>
  <si>
    <t>10.926.836,16</t>
  </si>
  <si>
    <t>26237 - Universidade Federal de Juiz de Fora</t>
  </si>
  <si>
    <t>36.434.302,15</t>
  </si>
  <si>
    <t>22.605.498,85</t>
  </si>
  <si>
    <t>26.118.130,56</t>
  </si>
  <si>
    <t>10.692.326,93</t>
  </si>
  <si>
    <t>24.357.052,36</t>
  </si>
  <si>
    <t>137.378.981,03</t>
  </si>
  <si>
    <t>20.992.494,88</t>
  </si>
  <si>
    <t>- 9.385.145,08</t>
  </si>
  <si>
    <t>- 2.230.402,37</t>
  </si>
  <si>
    <t>90.766.879,66</t>
  </si>
  <si>
    <t>2.144.806,23</t>
  </si>
  <si>
    <t>959.288.841,47</t>
  </si>
  <si>
    <t>26263 - Universidade Federal de Lavras</t>
  </si>
  <si>
    <t>190.537.151,85</t>
  </si>
  <si>
    <t>4.809.568,97</t>
  </si>
  <si>
    <t>26.311.574,18</t>
  </si>
  <si>
    <t>37.831.128,26</t>
  </si>
  <si>
    <t>5.370.913,21</t>
  </si>
  <si>
    <t>21.936.201,39</t>
  </si>
  <si>
    <t>4.282.176,29</t>
  </si>
  <si>
    <t>8.013.236,03</t>
  </si>
  <si>
    <t>166.445.414,38</t>
  </si>
  <si>
    <t>21.481.203,02</t>
  </si>
  <si>
    <t>14.287.523,11</t>
  </si>
  <si>
    <t>3.435.596,08</t>
  </si>
  <si>
    <t>26238 - Universidade Federal de Minas Gerais</t>
  </si>
  <si>
    <t>35.337.516,55</t>
  </si>
  <si>
    <t>28.505.866,74</t>
  </si>
  <si>
    <t>140.163.889,48</t>
  </si>
  <si>
    <t>85.394.388,33</t>
  </si>
  <si>
    <t>24.673.634,89</t>
  </si>
  <si>
    <t>27.550.370,45</t>
  </si>
  <si>
    <t>11.154.478,64</t>
  </si>
  <si>
    <t>- 35.604.815,94</t>
  </si>
  <si>
    <t>66.263.344,89</t>
  </si>
  <si>
    <t>70.103.825,16</t>
  </si>
  <si>
    <t>61.276.064,80</t>
  </si>
  <si>
    <t>2.472.784.514,37</t>
  </si>
  <si>
    <t>26277 - Universidade Federal de Ouro Preto</t>
  </si>
  <si>
    <t>276.309.405,34</t>
  </si>
  <si>
    <t>135.545.629,96</t>
  </si>
  <si>
    <t>6.948.557,54</t>
  </si>
  <si>
    <t>4.512.824,99</t>
  </si>
  <si>
    <t>6.157.246,03</t>
  </si>
  <si>
    <t>52.626.531,07</t>
  </si>
  <si>
    <t>24.718.561,15</t>
  </si>
  <si>
    <t>18.403.883,96</t>
  </si>
  <si>
    <t>1.516.133,19</t>
  </si>
  <si>
    <t>28.897.187,22</t>
  </si>
  <si>
    <t>1.068.881,47</t>
  </si>
  <si>
    <t>6.915.529,86</t>
  </si>
  <si>
    <t>26242 - Universidade Federal de Pernambuco</t>
  </si>
  <si>
    <t>29.193.422,46</t>
  </si>
  <si>
    <t>1.916.377.084,14</t>
  </si>
  <si>
    <t>28.404.856,98</t>
  </si>
  <si>
    <t>84.569.796,66</t>
  </si>
  <si>
    <t>45.579.533,77</t>
  </si>
  <si>
    <t>14.005.690,57</t>
  </si>
  <si>
    <t>54.861.539,36</t>
  </si>
  <si>
    <t>25.285.323,79</t>
  </si>
  <si>
    <t>21.552.874,88</t>
  </si>
  <si>
    <t>39.152.868,86</t>
  </si>
  <si>
    <t>31.694.657,78</t>
  </si>
  <si>
    <t>33.347.910,05</t>
  </si>
  <si>
    <t>26454 - Universidade Federal de Rondonópolis</t>
  </si>
  <si>
    <t>110.762.349,94</t>
  </si>
  <si>
    <t>8.704.882,73</t>
  </si>
  <si>
    <t>320.559,58</t>
  </si>
  <si>
    <t>2.467.636,00</t>
  </si>
  <si>
    <t>8.766.539,32</t>
  </si>
  <si>
    <t>6.529.168,02</t>
  </si>
  <si>
    <t>5.496.716,69</t>
  </si>
  <si>
    <t>- 9.085.714,34</t>
  </si>
  <si>
    <t>- 2.517.940,10</t>
  </si>
  <si>
    <t>4.381.773,65</t>
  </si>
  <si>
    <t>- 2.180.410,72</t>
  </si>
  <si>
    <t>1.253.314,26</t>
  </si>
  <si>
    <t>26250 - Universidade Federal de Roraima</t>
  </si>
  <si>
    <t>9.571.052,45</t>
  </si>
  <si>
    <t>212.751.662,75</t>
  </si>
  <si>
    <t>1.512.011,04</t>
  </si>
  <si>
    <t>5.098.769,67</t>
  </si>
  <si>
    <t>4.483.375,96</t>
  </si>
  <si>
    <t>10.082.336,15</t>
  </si>
  <si>
    <t>4.536.647,40</t>
  </si>
  <si>
    <t>13.137.792,20</t>
  </si>
  <si>
    <t>22.850.465,75</t>
  </si>
  <si>
    <t>2.536.348,61</t>
  </si>
  <si>
    <t>47.544.184,16</t>
  </si>
  <si>
    <t>6.429.873,54</t>
  </si>
  <si>
    <t>26246 - Universidade Federal de Santa Catarina</t>
  </si>
  <si>
    <t>36.809.430,18</t>
  </si>
  <si>
    <t>25.040.973,36</t>
  </si>
  <si>
    <t>105.994.995,28</t>
  </si>
  <si>
    <t>27.316.082,92</t>
  </si>
  <si>
    <t>31.645.714,37</t>
  </si>
  <si>
    <t>69.601.881,66</t>
  </si>
  <si>
    <t>39.767.375,43</t>
  </si>
  <si>
    <t>69.695.296,28</t>
  </si>
  <si>
    <t>69.949.769,97</t>
  </si>
  <si>
    <t>- 1.833.080,64</t>
  </si>
  <si>
    <t>11.945.665,73</t>
  </si>
  <si>
    <t>1.824.540.590,09</t>
  </si>
  <si>
    <t>26247 - Universidade Federal de Santa Maria</t>
  </si>
  <si>
    <t>51.638.871,75</t>
  </si>
  <si>
    <t>- 2.817.683,04</t>
  </si>
  <si>
    <t>41.567.579,76</t>
  </si>
  <si>
    <t>15.786.752,70</t>
  </si>
  <si>
    <t>1.509.789.495,17</t>
  </si>
  <si>
    <t>54.228.893,06</t>
  </si>
  <si>
    <t>11.253.778,29</t>
  </si>
  <si>
    <t>8.813.381,09</t>
  </si>
  <si>
    <t>5.365.564,77</t>
  </si>
  <si>
    <t>61.815.645,92</t>
  </si>
  <si>
    <t>12.096.777,66</t>
  </si>
  <si>
    <t>2.809.537,35</t>
  </si>
  <si>
    <t>26262 - Universidade Federal de São Paulo</t>
  </si>
  <si>
    <t>37.827.315,89</t>
  </si>
  <si>
    <t>53.926.663,07</t>
  </si>
  <si>
    <t>47.306.490,02</t>
  </si>
  <si>
    <t>68.468.344,16</t>
  </si>
  <si>
    <t>8.044.750,00</t>
  </si>
  <si>
    <t>1.304.551.510,49</t>
  </si>
  <si>
    <t>1.993.039,29</t>
  </si>
  <si>
    <t>25.787.712,44</t>
  </si>
  <si>
    <t>78.574.644,97</t>
  </si>
  <si>
    <t>23.413.804,07</t>
  </si>
  <si>
    <t>13.281.137,86</t>
  </si>
  <si>
    <t>41.716.737,49</t>
  </si>
  <si>
    <t>26282 - Universidade Federal de Viçosa</t>
  </si>
  <si>
    <t>9.125.322,39</t>
  </si>
  <si>
    <t>26.792.547,09</t>
  </si>
  <si>
    <t>16.204.727,27</t>
  </si>
  <si>
    <t>5.780.325,57</t>
  </si>
  <si>
    <t>23.064.166,84</t>
  </si>
  <si>
    <t>5.360.982,64</t>
  </si>
  <si>
    <t>39.467.829,19</t>
  </si>
  <si>
    <t>997.689.183,61</t>
  </si>
  <si>
    <t>11.948.997,07</t>
  </si>
  <si>
    <t>4.949.384,28</t>
  </si>
  <si>
    <t>- 14.363.195,66</t>
  </si>
  <si>
    <t>9.461.969,02</t>
  </si>
  <si>
    <t>26456 - Universidade Federal do Agreste de Pernambuco</t>
  </si>
  <si>
    <t>6.164.152,87</t>
  </si>
  <si>
    <t>9.887.571,89</t>
  </si>
  <si>
    <t>6.811.775,93</t>
  </si>
  <si>
    <t>6.924.747,83</t>
  </si>
  <si>
    <t>7.644.088,19</t>
  </si>
  <si>
    <t>5.662.796,07</t>
  </si>
  <si>
    <t>6.538.502,06</t>
  </si>
  <si>
    <t>1.635.034,17</t>
  </si>
  <si>
    <t>7.889.278,27</t>
  </si>
  <si>
    <t>6.025.202,43</t>
  </si>
  <si>
    <t>6.973.883,11</t>
  </si>
  <si>
    <t>11.214.573,10</t>
  </si>
  <si>
    <t>26449 - Universidade Federal do Cariri</t>
  </si>
  <si>
    <t>3.344.330,35</t>
  </si>
  <si>
    <t>1.336.094,92</t>
  </si>
  <si>
    <t>2.164.801,47</t>
  </si>
  <si>
    <t>6.532.985,13</t>
  </si>
  <si>
    <t>1.749.220,97</t>
  </si>
  <si>
    <t>2.845.598,67</t>
  </si>
  <si>
    <t>138.954,74</t>
  </si>
  <si>
    <t>14.963.847,05</t>
  </si>
  <si>
    <t>122.613.022,38</t>
  </si>
  <si>
    <t>1.252.299,66</t>
  </si>
  <si>
    <t>3.167.171,59</t>
  </si>
  <si>
    <t>5.451.815,39</t>
  </si>
  <si>
    <t>26233 - Universidade Federal do Ceará</t>
  </si>
  <si>
    <t>1.724.252.803,30</t>
  </si>
  <si>
    <t>72.286.002,30</t>
  </si>
  <si>
    <t>28.973.016,84</t>
  </si>
  <si>
    <t>15.711.204,13</t>
  </si>
  <si>
    <t>8.940.689,48</t>
  </si>
  <si>
    <t>4.917.704,35</t>
  </si>
  <si>
    <t>28.922.500,66</t>
  </si>
  <si>
    <t>19.028.523,87</t>
  </si>
  <si>
    <t>18.917.545,62</t>
  </si>
  <si>
    <t>33.848.990,56</t>
  </si>
  <si>
    <t>2.384.467,53</t>
  </si>
  <si>
    <t>12.267.115,70</t>
  </si>
  <si>
    <t>26455 - Universidade Federal do Delta do Parnaíba</t>
  </si>
  <si>
    <t>8.830.143,68</t>
  </si>
  <si>
    <t>7.804.650,30</t>
  </si>
  <si>
    <t>5.523.067,91</t>
  </si>
  <si>
    <t>10.162.790,01</t>
  </si>
  <si>
    <t>8.306.795,35</t>
  </si>
  <si>
    <t>10.936.422,58</t>
  </si>
  <si>
    <t>8.078.027,91</t>
  </si>
  <si>
    <t>8.230.592,52</t>
  </si>
  <si>
    <t>7.162.872,21</t>
  </si>
  <si>
    <t>8.770.997,66</t>
  </si>
  <si>
    <t>14.534.952,03</t>
  </si>
  <si>
    <t>8.984.311,40</t>
  </si>
  <si>
    <t>26234 - Universidade Federal do Espírito Santo</t>
  </si>
  <si>
    <t>9.632.637,82</t>
  </si>
  <si>
    <t>51.374.858,50</t>
  </si>
  <si>
    <t>11.023.609,46</t>
  </si>
  <si>
    <t>1.080.519.850,29</t>
  </si>
  <si>
    <t>36.185.990,25</t>
  </si>
  <si>
    <t>13.321.831,50</t>
  </si>
  <si>
    <t>21.702.502,70</t>
  </si>
  <si>
    <t>8.477.443,74</t>
  </si>
  <si>
    <t>14.100.994,35</t>
  </si>
  <si>
    <t>20.311.938,84</t>
  </si>
  <si>
    <t>20.572.456,42</t>
  </si>
  <si>
    <t>24.686.017,44</t>
  </si>
  <si>
    <t>26269 - Universidade Federal do Estado do Rio de Janeiro</t>
  </si>
  <si>
    <t>6.423.632,51</t>
  </si>
  <si>
    <t>3.793.901,56</t>
  </si>
  <si>
    <t>5.389.196,89</t>
  </si>
  <si>
    <t>12.140.512,08</t>
  </si>
  <si>
    <t>5.782.002,27</t>
  </si>
  <si>
    <t>108.313.754,99</t>
  </si>
  <si>
    <t>4.577.462,44</t>
  </si>
  <si>
    <t>19.574.520,66</t>
  </si>
  <si>
    <t>15.354.828,48</t>
  </si>
  <si>
    <t>8.047.880,71</t>
  </si>
  <si>
    <t>15.163.338,47</t>
  </si>
  <si>
    <t>587.298.283,10</t>
  </si>
  <si>
    <t>26457 - Universidade Federal do Norte do Tocantins</t>
  </si>
  <si>
    <t>14.771.454,46</t>
  </si>
  <si>
    <t>3.579.631,57</t>
  </si>
  <si>
    <t>7.466.790,45</t>
  </si>
  <si>
    <t>278.013,89</t>
  </si>
  <si>
    <t>- 141.204,92</t>
  </si>
  <si>
    <t>2.336.167,54</t>
  </si>
  <si>
    <t>3.412.851,90</t>
  </si>
  <si>
    <t>5.451.073,56</t>
  </si>
  <si>
    <t>253.797,05</t>
  </si>
  <si>
    <t>276.166,50</t>
  </si>
  <si>
    <t>7.927.756,87</t>
  </si>
  <si>
    <t>90.249.339,80</t>
  </si>
  <si>
    <t>26447 - Universidade Federal do Oeste da Bahia</t>
  </si>
  <si>
    <t>113.946.083,13</t>
  </si>
  <si>
    <t>10.021.686,74</t>
  </si>
  <si>
    <t>41.563,75</t>
  </si>
  <si>
    <t>- 2.408.041,58</t>
  </si>
  <si>
    <t>615.087,00</t>
  </si>
  <si>
    <t>- 1.039.602,14</t>
  </si>
  <si>
    <t>8.865.565,73</t>
  </si>
  <si>
    <t>7.017.772,50</t>
  </si>
  <si>
    <t>3.175.422,29</t>
  </si>
  <si>
    <t>1.861.471,33</t>
  </si>
  <si>
    <t>5.058.505,28</t>
  </si>
  <si>
    <t>3.584.208,70</t>
  </si>
  <si>
    <t>26441 - Universidade Federal do Oeste do Pará</t>
  </si>
  <si>
    <t>12.983.189,71</t>
  </si>
  <si>
    <t>7.541.102,16</t>
  </si>
  <si>
    <t>- 3.173.827,24</t>
  </si>
  <si>
    <t>19.316.921,14</t>
  </si>
  <si>
    <t>10.528.704,81</t>
  </si>
  <si>
    <t>1.463.648,98</t>
  </si>
  <si>
    <t>1.771.842,90</t>
  </si>
  <si>
    <t>- 1.085.650,76</t>
  </si>
  <si>
    <t>10.388.682,53</t>
  </si>
  <si>
    <t>6.454.866,23</t>
  </si>
  <si>
    <t>9.072.980,80</t>
  </si>
  <si>
    <t>200.654.857,20</t>
  </si>
  <si>
    <t>26241 - Universidade Federal do Paraná</t>
  </si>
  <si>
    <t>48.313.555,50</t>
  </si>
  <si>
    <t>38.859.671,43</t>
  </si>
  <si>
    <t>19.958.462,63</t>
  </si>
  <si>
    <t>211.139.375,98</t>
  </si>
  <si>
    <t>13.550.416,52</t>
  </si>
  <si>
    <t>11.260.121,97</t>
  </si>
  <si>
    <t>36.877.892,05</t>
  </si>
  <si>
    <t>1.654.840.414,55</t>
  </si>
  <si>
    <t>18.094.864,36</t>
  </si>
  <si>
    <t>57.947.617,32</t>
  </si>
  <si>
    <t>57.593.128,34</t>
  </si>
  <si>
    <t>69.361.878,40</t>
  </si>
  <si>
    <t>26239 - Universidade Federal do Pará</t>
  </si>
  <si>
    <t>139.518.516,02</t>
  </si>
  <si>
    <t>6.749.163,92</t>
  </si>
  <si>
    <t>125.988.578,25</t>
  </si>
  <si>
    <t>44.785.060,63</t>
  </si>
  <si>
    <t>389.627.623,18</t>
  </si>
  <si>
    <t>21.567.344,64</t>
  </si>
  <si>
    <t>773.550.154,82</t>
  </si>
  <si>
    <t>52.553.220,59</t>
  </si>
  <si>
    <t>12.854.443,59</t>
  </si>
  <si>
    <t>303.630.343,51</t>
  </si>
  <si>
    <t>27.158.618,23</t>
  </si>
  <si>
    <t>- 3.477.199,06</t>
  </si>
  <si>
    <t>26351 - Universidade Federal do Recôncavo da Bahia</t>
  </si>
  <si>
    <t>17.448.632,68</t>
  </si>
  <si>
    <t>3.087.276,98</t>
  </si>
  <si>
    <t>15.469.867,34</t>
  </si>
  <si>
    <t>22.019.884,27</t>
  </si>
  <si>
    <t>345.857.299,27</t>
  </si>
  <si>
    <t>1.756.045,02</t>
  </si>
  <si>
    <t>4.486.560,51</t>
  </si>
  <si>
    <t>2.931.014,26</t>
  </si>
  <si>
    <t>3.128.946,11</t>
  </si>
  <si>
    <t>7.799.742,72</t>
  </si>
  <si>
    <t>2.336.521,08</t>
  </si>
  <si>
    <t>15.449.992,70</t>
  </si>
  <si>
    <t>26245 - Universidade Federal do Rio de Janeiro</t>
  </si>
  <si>
    <t>51.083.537,40</t>
  </si>
  <si>
    <t>246.181.812,83</t>
  </si>
  <si>
    <t>372.831.101,84</t>
  </si>
  <si>
    <t>152.242.724,99</t>
  </si>
  <si>
    <t>40.536.948,79</t>
  </si>
  <si>
    <t>119.467.446,82</t>
  </si>
  <si>
    <t>61.057.625,48</t>
  </si>
  <si>
    <t>32.871.694,78</t>
  </si>
  <si>
    <t>192.320.558,67</t>
  </si>
  <si>
    <t>208.964.356,56</t>
  </si>
  <si>
    <t>3.124.700.256,44</t>
  </si>
  <si>
    <t>44.253.348,96</t>
  </si>
  <si>
    <t>26273 - Universidade Federal do Rio Grande</t>
  </si>
  <si>
    <t>14.819.089,91</t>
  </si>
  <si>
    <t>9.328.286,99</t>
  </si>
  <si>
    <t>621.163.820,99</t>
  </si>
  <si>
    <t>14.816.148,01</t>
  </si>
  <si>
    <t>- 250.754,11</t>
  </si>
  <si>
    <t>10.624.832,82</t>
  </si>
  <si>
    <t>7.600.816,48</t>
  </si>
  <si>
    <t>9.277.463,99</t>
  </si>
  <si>
    <t>13.259.416,94</t>
  </si>
  <si>
    <t>- 2.639.481,58</t>
  </si>
  <si>
    <t>10.823.313,39</t>
  </si>
  <si>
    <t>901.923,03</t>
  </si>
  <si>
    <t>26243 - Universidade Federal do Rio Grande do Norte</t>
  </si>
  <si>
    <t>17.135.162,49</t>
  </si>
  <si>
    <t>75.332.376,94</t>
  </si>
  <si>
    <t>1.875.912.253,72</t>
  </si>
  <si>
    <t>22.961.204,98</t>
  </si>
  <si>
    <t>21.060.857,20</t>
  </si>
  <si>
    <t>9.490.781,31</t>
  </si>
  <si>
    <t>28.400.748,65</t>
  </si>
  <si>
    <t>21.718.574,27</t>
  </si>
  <si>
    <t>41.558.089,01</t>
  </si>
  <si>
    <t>35.425.075,42</t>
  </si>
  <si>
    <t>32.216.081,26</t>
  </si>
  <si>
    <t>17.224.965,85</t>
  </si>
  <si>
    <t>26244 - Universidade Federal do Rio Grande do Sul</t>
  </si>
  <si>
    <t>18.868.298,16</t>
  </si>
  <si>
    <t>16.144.062,31</t>
  </si>
  <si>
    <t>19.213.169,03</t>
  </si>
  <si>
    <t>67.450.381,44</t>
  </si>
  <si>
    <t>5.462.649,62</t>
  </si>
  <si>
    <t>16.471.741,97</t>
  </si>
  <si>
    <t>193.430.327,95</t>
  </si>
  <si>
    <t>- 22.881.769,26</t>
  </si>
  <si>
    <t>21.223.515,57</t>
  </si>
  <si>
    <t>111.457.611,01</t>
  </si>
  <si>
    <t>2.012.057.531,50</t>
  </si>
  <si>
    <t>10.976.080,43</t>
  </si>
  <si>
    <t>26450 - Universidade Federal do Sul da Bahia</t>
  </si>
  <si>
    <t>125.850.248,78</t>
  </si>
  <si>
    <t>2.290.565,05</t>
  </si>
  <si>
    <t>11.981.746,18</t>
  </si>
  <si>
    <t>1.278.680,49</t>
  </si>
  <si>
    <t>3.001.556,61</t>
  </si>
  <si>
    <t>1.949.522,88</t>
  </si>
  <si>
    <t>- 957.432,65</t>
  </si>
  <si>
    <t>2.172.602,19</t>
  </si>
  <si>
    <t>3.613.360,62</t>
  </si>
  <si>
    <t>1.658.176,68</t>
  </si>
  <si>
    <t>939.006,26</t>
  </si>
  <si>
    <t>7.609.659,80</t>
  </si>
  <si>
    <t>26448 - Universidade Federal do Sul e Sudeste do Pará</t>
  </si>
  <si>
    <t>3.912.137,82</t>
  </si>
  <si>
    <t>1.025.552,77</t>
  </si>
  <si>
    <t>8.886.075,97</t>
  </si>
  <si>
    <t>- 1.299.252,13</t>
  </si>
  <si>
    <t>14.986,26</t>
  </si>
  <si>
    <t>149.299.421,54</t>
  </si>
  <si>
    <t>3.492.894,51</t>
  </si>
  <si>
    <t>588.242,29</t>
  </si>
  <si>
    <t>2.474.046,83</t>
  </si>
  <si>
    <t>4.169.121,09</t>
  </si>
  <si>
    <t>2.999.946,84</t>
  </si>
  <si>
    <t>6.831.638,65</t>
  </si>
  <si>
    <t>26254 - Universidade Federal do Triângulo Mineiro</t>
  </si>
  <si>
    <t>2.120.759,46</t>
  </si>
  <si>
    <t>3.338.958,81</t>
  </si>
  <si>
    <t>1.021.557,88</t>
  </si>
  <si>
    <t>10.114.136,52</t>
  </si>
  <si>
    <t>557.014.253,18</t>
  </si>
  <si>
    <t>7.472.204,13</t>
  </si>
  <si>
    <t>8.475.045,96</t>
  </si>
  <si>
    <t>7.478.156,37</t>
  </si>
  <si>
    <t>8.061.377,42</t>
  </si>
  <si>
    <t>14.087.780,91</t>
  </si>
  <si>
    <t>15.755.336,23</t>
  </si>
  <si>
    <t>- 2.510.064,09</t>
  </si>
  <si>
    <t>26255 - Universidade Federal dos Vales do Jequitinhonha e Mucuri</t>
  </si>
  <si>
    <t>16.460.058,39</t>
  </si>
  <si>
    <t>4.212.373,71</t>
  </si>
  <si>
    <t>- 2.129.757,57</t>
  </si>
  <si>
    <t>21.769.125,21</t>
  </si>
  <si>
    <t>3.408.739,06</t>
  </si>
  <si>
    <t>310.256.025,14</t>
  </si>
  <si>
    <t>5.599.222,81</t>
  </si>
  <si>
    <t>7.632.516,93</t>
  </si>
  <si>
    <t>2.260.817,68</t>
  </si>
  <si>
    <t>1.701.409,91</t>
  </si>
  <si>
    <t>6.614.636,47</t>
  </si>
  <si>
    <t>866.363,52</t>
  </si>
  <si>
    <t>26236 - Universidade Federal Fluminense</t>
  </si>
  <si>
    <t>283.487.027,63</t>
  </si>
  <si>
    <t>201.314.727,82</t>
  </si>
  <si>
    <t>220.909.964,63</t>
  </si>
  <si>
    <t>249.024.318,63</t>
  </si>
  <si>
    <t>208.079.056,68</t>
  </si>
  <si>
    <t>188.755.173,00</t>
  </si>
  <si>
    <t>176.393.362,94</t>
  </si>
  <si>
    <t>192.025.121,14</t>
  </si>
  <si>
    <t>216.887.663,47</t>
  </si>
  <si>
    <t>202.412.273,39</t>
  </si>
  <si>
    <t>237.875.535,17</t>
  </si>
  <si>
    <t>380.290.109,17</t>
  </si>
  <si>
    <t>26253 - Universidade Federal Rural da Amazônia</t>
  </si>
  <si>
    <t>12.050.364,53</t>
  </si>
  <si>
    <t>1.421.824,22</t>
  </si>
  <si>
    <t>267.923.969,77</t>
  </si>
  <si>
    <t>- 565.517,48</t>
  </si>
  <si>
    <t>10.047.781,42</t>
  </si>
  <si>
    <t>- 3.100.798,36</t>
  </si>
  <si>
    <t>2.958.971,57</t>
  </si>
  <si>
    <t>- 793.252,03</t>
  </si>
  <si>
    <t>20.255.656,75</t>
  </si>
  <si>
    <t>20.764.655,25</t>
  </si>
  <si>
    <t>1.517.793,12</t>
  </si>
  <si>
    <t>- 741.877,22</t>
  </si>
  <si>
    <t>26248 - Universidade Federal Rural de Pernambuco</t>
  </si>
  <si>
    <t>46.125.393,56</t>
  </si>
  <si>
    <t>93.092.487,98</t>
  </si>
  <si>
    <t>115.209.301,35</t>
  </si>
  <si>
    <t>30.741.832,64</t>
  </si>
  <si>
    <t>58.785.747,81</t>
  </si>
  <si>
    <t>35.828.977,59</t>
  </si>
  <si>
    <t>55.936.516,20</t>
  </si>
  <si>
    <t>87.227.159,63</t>
  </si>
  <si>
    <t>56.460.259,83</t>
  </si>
  <si>
    <t>33.226.371,14</t>
  </si>
  <si>
    <t>128.350.118,24</t>
  </si>
  <si>
    <t>43.102.186,54</t>
  </si>
  <si>
    <t>26249 - Universidade Federal Rural do Rio de Janeiro</t>
  </si>
  <si>
    <t>4.119.422,41</t>
  </si>
  <si>
    <t>3.755.560,82</t>
  </si>
  <si>
    <t>20.079.163,03</t>
  </si>
  <si>
    <t>4.197.375,32</t>
  </si>
  <si>
    <t>32.888.376,43</t>
  </si>
  <si>
    <t>2.942.840,54</t>
  </si>
  <si>
    <t>5.365.563,40</t>
  </si>
  <si>
    <t>5.309.692,19</t>
  </si>
  <si>
    <t>32.891.493,53</t>
  </si>
  <si>
    <t>- 364.336,17</t>
  </si>
  <si>
    <t>752.526.582,50</t>
  </si>
  <si>
    <t>10.136.064,62</t>
  </si>
  <si>
    <t>26264 - Universidade Federal Rural do Semi-Árido</t>
  </si>
  <si>
    <t>3.428.753,35</t>
  </si>
  <si>
    <t>5.824.487,92</t>
  </si>
  <si>
    <t>4.299.430,50</t>
  </si>
  <si>
    <t>6.562.889,11</t>
  </si>
  <si>
    <t>12.326.257,20</t>
  </si>
  <si>
    <t>1.311.602,95</t>
  </si>
  <si>
    <t>9.623.721,98</t>
  </si>
  <si>
    <t>14.695.681,79</t>
  </si>
  <si>
    <t>7.478.043,54</t>
  </si>
  <si>
    <t>26.325.508,19</t>
  </si>
  <si>
    <t>310.015.689,91</t>
  </si>
  <si>
    <t>550.401,63</t>
  </si>
  <si>
    <t>26258 - Universidade Tecnológica Federal do Paraná</t>
  </si>
  <si>
    <t>8.134.518,65</t>
  </si>
  <si>
    <t>26.532.469,82</t>
  </si>
  <si>
    <t>15.056.723,20</t>
  </si>
  <si>
    <t>26.721.297,02</t>
  </si>
  <si>
    <t>101.976.792,71</t>
  </si>
  <si>
    <t>30.403.761,35</t>
  </si>
  <si>
    <t>111.601.295,42</t>
  </si>
  <si>
    <t>3.082.980,99</t>
  </si>
  <si>
    <t>109.615.004,46</t>
  </si>
  <si>
    <t>38.864.857,94</t>
  </si>
  <si>
    <t>81.942.379,86</t>
  </si>
  <si>
    <t>724.519.879,57</t>
  </si>
  <si>
    <t>Rótulos de Linha</t>
  </si>
  <si>
    <t>Total Geral</t>
  </si>
  <si>
    <t>Soma de Valor Liquidado</t>
  </si>
  <si>
    <t>Código Mantenedora</t>
  </si>
  <si>
    <t>Razão Social</t>
  </si>
  <si>
    <t>CNPJ</t>
  </si>
  <si>
    <t>Natureza Jurídica</t>
  </si>
  <si>
    <t>Código IES</t>
  </si>
  <si>
    <t>Instituição(IES)</t>
  </si>
  <si>
    <t>Sigla</t>
  </si>
  <si>
    <t>Telefone</t>
  </si>
  <si>
    <t>Sitio</t>
  </si>
  <si>
    <t>e-Mail</t>
  </si>
  <si>
    <t>Endereço Sede</t>
  </si>
  <si>
    <t>Município</t>
  </si>
  <si>
    <t>UF</t>
  </si>
  <si>
    <t>Organização Acadêmica</t>
  </si>
  <si>
    <t>Tipo de Credenciamento</t>
  </si>
  <si>
    <t>Categoria</t>
  </si>
  <si>
    <t>Categoria Administrativa</t>
  </si>
  <si>
    <t>Data do Ato de Criação da IES</t>
  </si>
  <si>
    <t>CI</t>
  </si>
  <si>
    <t>Ano CI</t>
  </si>
  <si>
    <t>CI-EaD</t>
  </si>
  <si>
    <t>Ano CI-EaD</t>
  </si>
  <si>
    <t>IGC</t>
  </si>
  <si>
    <t>Ano IGC</t>
  </si>
  <si>
    <t>Reitor/Dirigente Principal</t>
  </si>
  <si>
    <t>Representante Legal</t>
  </si>
  <si>
    <t>Sinalizações Vigentes</t>
  </si>
  <si>
    <t>Situação da IES</t>
  </si>
  <si>
    <t>FUNDACAO UNIVERSIDADE FEDERAL DA GRANDE DOURADOS</t>
  </si>
  <si>
    <t>07.775.847/0001-97</t>
  </si>
  <si>
    <t>Pessoa Jurídica de Direito Público - Federal</t>
  </si>
  <si>
    <t>FUNDAÇÃO UNIVERSIDADE FEDERAL DA GRANDE DOURADOS (UFGD)</t>
  </si>
  <si>
    <t>UFGD</t>
  </si>
  <si>
    <t>(67) 3410 2711</t>
  </si>
  <si>
    <t>www.ufgd.edu.br</t>
  </si>
  <si>
    <t>reitoria@ufgd.edu.br</t>
  </si>
  <si>
    <t>Rua João Rosa Góes - 1761 - CEP: 79825-070 - Vila Progresso</t>
  </si>
  <si>
    <t>Dourados</t>
  </si>
  <si>
    <t>MS</t>
  </si>
  <si>
    <t>Universidade</t>
  </si>
  <si>
    <t>EAD - Superior / Presencial - Superior /</t>
  </si>
  <si>
    <t>Publica</t>
  </si>
  <si>
    <t>Pública Federal</t>
  </si>
  <si>
    <t>5</t>
  </si>
  <si>
    <t>-</t>
  </si>
  <si>
    <t>Ativa</t>
  </si>
  <si>
    <t>FUNDACAO UNIVERSIDADE FEDERAL DE CIENCIAS DA SAUDE DE PORTO ALEGRE</t>
  </si>
  <si>
    <t>92.967.595/0001-77</t>
  </si>
  <si>
    <t>FUNDAÇÃO UNIVERSIDADE FEDERAL DE CIÊNCIAS DA SAÚDE DE PORTO ALEGRE (UFCSPA)</t>
  </si>
  <si>
    <t>UFCSPA</t>
  </si>
  <si>
    <t>(51) 33039000</t>
  </si>
  <si>
    <t>www.ufcspa.edu.br</t>
  </si>
  <si>
    <t>reitoria@ufcspa.edu.br</t>
  </si>
  <si>
    <t>Rua Sarmento Leite - 245 - CEP: 90050-170 - Centro</t>
  </si>
  <si>
    <t>Porto Alegre</t>
  </si>
  <si>
    <t>RS</t>
  </si>
  <si>
    <t>4</t>
  </si>
  <si>
    <t>FUNDACAO UNIVERSIDADE FEDERAL DE RONDONIA</t>
  </si>
  <si>
    <t>04.418.943/0001-90</t>
  </si>
  <si>
    <t>FUNDAÇÃO UNIVERSIDADE FEDERAL DE RONDÔNIA (UNIR)</t>
  </si>
  <si>
    <t>UNIR</t>
  </si>
  <si>
    <t>(69) 2182 2019/(69) 2182 2020</t>
  </si>
  <si>
    <t>www.unir.br</t>
  </si>
  <si>
    <t>reitoria@unir.br</t>
  </si>
  <si>
    <t>BR 364 - Km 9,5 - CEP: 76808-695 - s/n</t>
  </si>
  <si>
    <t>Porto Velho</t>
  </si>
  <si>
    <t>RO</t>
  </si>
  <si>
    <t>3</t>
  </si>
  <si>
    <t>FUNDACAO UNIVERSIDADE FEDERAL DO ABC - UFABC</t>
  </si>
  <si>
    <t>07.722.779/0001-06</t>
  </si>
  <si>
    <t>FUNDAÇÃO UNIVERSIDADE FEDERAL DO ABC (UFABC)</t>
  </si>
  <si>
    <t>UFABC</t>
  </si>
  <si>
    <t>(11) 3356-7080</t>
  </si>
  <si>
    <t>www.ufabc.edu.br</t>
  </si>
  <si>
    <t>reitoria@ufabc.edu.br</t>
  </si>
  <si>
    <t>Avenida dos Estados - 5001 - CEP: 09280-560 - Bangú</t>
  </si>
  <si>
    <t>Santo André</t>
  </si>
  <si>
    <t>SP</t>
  </si>
  <si>
    <t>FUNDACAO UNIVERSIDADE FEDERAL DO PAMPA - UNIPAMPA</t>
  </si>
  <si>
    <t>09.341.233/0001-22</t>
  </si>
  <si>
    <t>FUNDAÇÃO UNIVERSIDADE FEDERAL DO PAMPA - UNIPAMPA (UNIPAMPA)</t>
  </si>
  <si>
    <t>UNIPAMPA</t>
  </si>
  <si>
    <t>53 3240 5400</t>
  </si>
  <si>
    <t>www.unipampa.edu.br</t>
  </si>
  <si>
    <t>reitoria@unipampa.edu.br</t>
  </si>
  <si>
    <t>Rua Melanie Granier - 51 - CEP: 96400-500 - Centro</t>
  </si>
  <si>
    <t>Bagé</t>
  </si>
  <si>
    <t>FUNDACAO UNIVERSIDADE FEDERAL DO TOCANTINS</t>
  </si>
  <si>
    <t>05.149.726/0001-04</t>
  </si>
  <si>
    <t>FUNDAÇÃO UNIVERSIDADE FEDERAL DO TOCANTINS (UFT)</t>
  </si>
  <si>
    <t>UFT</t>
  </si>
  <si>
    <t>(63)3229-4012/(63)3229-4035</t>
  </si>
  <si>
    <t>www.uft.edu.br</t>
  </si>
  <si>
    <t>reitor@uft.edu.br</t>
  </si>
  <si>
    <t>Avenida NS 15 ALCNO 14 - s/n - CEP: 77001-090 - Centro</t>
  </si>
  <si>
    <t>Palmas</t>
  </si>
  <si>
    <t>TO</t>
  </si>
  <si>
    <t>FUNDACAO UNIVERSIDADE FEDERAL DO VALE DO SAO FRANCISCO</t>
  </si>
  <si>
    <t>05.440.725/0001-14</t>
  </si>
  <si>
    <t>FUNDAÇÃO UNIVERSIDADE FEDERAL DO VALE DO SÃO FRANCISCO (UNIVASF)</t>
  </si>
  <si>
    <t>UNIVASF</t>
  </si>
  <si>
    <t>https://www.portais.univasf.edu.br/</t>
  </si>
  <si>
    <t>reitoria@univasf.edu.br;proen@univasf.edu.br;proen.pi@univasf.edu.br</t>
  </si>
  <si>
    <t>Avenida José de Sá Maniçoba - s/n - CEP: 56304-917 - Centro</t>
  </si>
  <si>
    <t>Petrolina</t>
  </si>
  <si>
    <t>PE</t>
  </si>
  <si>
    <t>UNIVERSIDADE DA INTEGRACAO INTERNACIONAL DA LUSOFONIA AFRO-BRASILEIRA</t>
  </si>
  <si>
    <t>12.397.930/0001-00</t>
  </si>
  <si>
    <t>UNIVERSIDADE DA INTEGRAÇÃO INTERNACIONAL DA LUSOFONIA AFRO-BRASILEIRA (UNILAB)</t>
  </si>
  <si>
    <t>UNILAB</t>
  </si>
  <si>
    <t>(85) 3332 1410</t>
  </si>
  <si>
    <t>www.unilab.edu.br</t>
  </si>
  <si>
    <t>chefiadegabinete@unilab.edu.br</t>
  </si>
  <si>
    <t>Av. da Abolição - 03 - CEP: 62790-000 - Centro</t>
  </si>
  <si>
    <t>Redenção</t>
  </si>
  <si>
    <t>CE</t>
  </si>
  <si>
    <t>FUNDACAO UNIVERSIDADE DE BRASILIA</t>
  </si>
  <si>
    <t>00.038.174/0001-43</t>
  </si>
  <si>
    <t>UNIVERSIDADE DE BRASÍLIA (UNB)</t>
  </si>
  <si>
    <t>UNB</t>
  </si>
  <si>
    <t>(61)3107-0254</t>
  </si>
  <si>
    <t>www.unb.br</t>
  </si>
  <si>
    <t>unb@unb.br</t>
  </si>
  <si>
    <t>Campus Universitário Darcy Ribeiro - s/n - CEP: 70910-900 - Asa Norte</t>
  </si>
  <si>
    <t>Brasília</t>
  </si>
  <si>
    <t>DF</t>
  </si>
  <si>
    <t>UNIVERSIDADE FEDERAL DA BAHIA</t>
  </si>
  <si>
    <t>15.180.714/0001-04</t>
  </si>
  <si>
    <t>UNIVERSIDADE FEDERAL DA BAHIA (UFBA)</t>
  </si>
  <si>
    <t>UFBA</t>
  </si>
  <si>
    <t>(71) 3283-7072 e 3283-7045</t>
  </si>
  <si>
    <t>www.portal.ufba.br</t>
  </si>
  <si>
    <t>gabinete@ufba.br</t>
  </si>
  <si>
    <t>RUA AUGUSTO VIANA - S/N - CEP: 40110-909 - CANELA</t>
  </si>
  <si>
    <t>Salvador</t>
  </si>
  <si>
    <t>BA</t>
  </si>
  <si>
    <t>UNIVERSIDADE FEDERAL DA FRONTEIRA SUL - UFFS</t>
  </si>
  <si>
    <t>11.234.780/0001-50</t>
  </si>
  <si>
    <t>UNIVERSIDADE FEDERAL DA FRONTEIRA SUL (UFFS)</t>
  </si>
  <si>
    <t>UFFS</t>
  </si>
  <si>
    <t>(49) 2049 3702 ou 3705 ou 3100</t>
  </si>
  <si>
    <t>http://www.uffs.edu.br/</t>
  </si>
  <si>
    <t>gabinete@uffs.edu.br</t>
  </si>
  <si>
    <t>Rodovia SC 484, Km 2 - S/N - CEP: 89815-899 - Fronteira Sul</t>
  </si>
  <si>
    <t>Chapecó</t>
  </si>
  <si>
    <t>SC</t>
  </si>
  <si>
    <t>Presencial - Superior</t>
  </si>
  <si>
    <t>UNIVERSIDADE FEDERAL DA INTEGRACAO LATINO-AMERICANA</t>
  </si>
  <si>
    <t>11.806.275/0001-33</t>
  </si>
  <si>
    <t>UNIVERSIDADE FEDERAL DA INTEGRAÇÃO LATINO-AMERICANA (UNILA)</t>
  </si>
  <si>
    <t>UNILA</t>
  </si>
  <si>
    <t>+55 (45) 3522-9639</t>
  </si>
  <si>
    <t>http://www.unila.edu.br/</t>
  </si>
  <si>
    <t>reitoria.gabinete@unila.edu.br</t>
  </si>
  <si>
    <t>Avenida Tancredo Neves - 3147 - CEP: 85867-000 - Itaipu B</t>
  </si>
  <si>
    <t>Foz do Iguaçu</t>
  </si>
  <si>
    <t>PR</t>
  </si>
  <si>
    <t>UNIVERSIDADE FEDERAL DA PARAIBA</t>
  </si>
  <si>
    <t>24.098.477/0001-10</t>
  </si>
  <si>
    <t>UNIVERSIDADE FEDERAL DA PARAÍBA (UFPB)</t>
  </si>
  <si>
    <t>UFPB</t>
  </si>
  <si>
    <t>(83) 3216 7150</t>
  </si>
  <si>
    <t>www.ufpb.br</t>
  </si>
  <si>
    <t>pi@reitoria.ufpb.br; cra@prg.ufpb.br</t>
  </si>
  <si>
    <t>Cidade Universitária - s/n - CEP: 58051-900 - Castelo Branco</t>
  </si>
  <si>
    <t>João Pessoa</t>
  </si>
  <si>
    <t>PB</t>
  </si>
  <si>
    <t>UNIVERSIDADE FEDERAL DE ALAGOAS</t>
  </si>
  <si>
    <t>24.464.109/0001-48</t>
  </si>
  <si>
    <t>UNIVERSIDADE FEDERAL DE ALAGOAS (UFAL)</t>
  </si>
  <si>
    <t>UFAL</t>
  </si>
  <si>
    <t>(82) 3214 1767</t>
  </si>
  <si>
    <t>www.ufal.edu.br</t>
  </si>
  <si>
    <t>gr@reitoria.ufal.br;pi@reitoria.ufal.br</t>
  </si>
  <si>
    <t>Av. Lourival de Melo Mota - s/n - CEP: 57072-970 - TABULEIRO DO MARTINS</t>
  </si>
  <si>
    <t>Maceió</t>
  </si>
  <si>
    <t>AL</t>
  </si>
  <si>
    <t>UNIVERSIDADE FEDERAL DE ALFENAS - UNIFAL-MG</t>
  </si>
  <si>
    <t>17.879.859/0001-15</t>
  </si>
  <si>
    <t>UNIVERSIDADE FEDERAL DE ALFENAS (UNIFAL-MG)</t>
  </si>
  <si>
    <t>UNIFAL-MG</t>
  </si>
  <si>
    <t>(35)37019004</t>
  </si>
  <si>
    <t>www.unifal-mg.edu.br</t>
  </si>
  <si>
    <t>reitoria@unifal-mg.edu.br</t>
  </si>
  <si>
    <t>Rua Gabriel Monteiro da Silva - 700 - CEP: 37130-001 - Centro</t>
  </si>
  <si>
    <t>Alfenas</t>
  </si>
  <si>
    <t>MG</t>
  </si>
  <si>
    <t>UNIVERSIDADE FEDERAL DE CAMPINA GRANDE</t>
  </si>
  <si>
    <t>05.055.128/0001-76</t>
  </si>
  <si>
    <t>UNIVERSIDADE FEDERAL DE CAMPINA GRANDE (UFCG)</t>
  </si>
  <si>
    <t>UFCG</t>
  </si>
  <si>
    <t>(83) 2101 1467</t>
  </si>
  <si>
    <t>www.ufcg.edu.br</t>
  </si>
  <si>
    <t>reitor@ufcg.edu.br</t>
  </si>
  <si>
    <t>Universidade Federal de Campina Grande - 882 - CEP: 58429-900 - Universitário</t>
  </si>
  <si>
    <t>Campina Grande</t>
  </si>
  <si>
    <t>UNIVERSIDADE FEDERAL DE CATALAO</t>
  </si>
  <si>
    <t>35.834.377/0001-20</t>
  </si>
  <si>
    <t>UNIVERSIDADE FEDERAL DE CATALÃO (UFCAT)</t>
  </si>
  <si>
    <t>UFCAT</t>
  </si>
  <si>
    <t>(64) 3441-5300</t>
  </si>
  <si>
    <t>ufcat.edu.br/</t>
  </si>
  <si>
    <t>roselma@ufcat.edu.br</t>
  </si>
  <si>
    <t>Avenida Doutor Lamartine Pinto de Avelar - 1120 - CEP: 75704-020 - Loteamento Vila Chaud</t>
  </si>
  <si>
    <t>Catalão</t>
  </si>
  <si>
    <t>GO</t>
  </si>
  <si>
    <t>UNIVERSIDADE FEDERAL DE GOIAS</t>
  </si>
  <si>
    <t>01.567.601/0001-43</t>
  </si>
  <si>
    <t>UNIVERSIDADE FEDERAL DE GOIÁS (UFG)</t>
  </si>
  <si>
    <t>UFG</t>
  </si>
  <si>
    <t>(62) 3521 1063</t>
  </si>
  <si>
    <t>www.ufg.br</t>
  </si>
  <si>
    <t>reitoria@ufg.br;secretaria.reitoria@ufg.br;dii.secplan@ufg.br</t>
  </si>
  <si>
    <t>RODOVIA GOIÂNIA NERÓPOLIS - KM 12 - CEP: 74001-970 - Campus Samambaia</t>
  </si>
  <si>
    <t>Goiânia</t>
  </si>
  <si>
    <t>UNIVERSIDADE FEDERAL DE ITAJUBA</t>
  </si>
  <si>
    <t>21.040.001/0001-30</t>
  </si>
  <si>
    <t>UNIVERSIDADE FEDERAL DE ITAJUBÁ - UNIFEI (UNIFEI)</t>
  </si>
  <si>
    <t>UNIFEI</t>
  </si>
  <si>
    <t>(35)36291108</t>
  </si>
  <si>
    <t>www.unifei.edu.br</t>
  </si>
  <si>
    <t>cibele.cunha@unifei.edu.br; prg@unifei.edu.br</t>
  </si>
  <si>
    <t>Avenida BPS - 1303 - CEP: 37500-903 - Pinheirinho</t>
  </si>
  <si>
    <t>Itajubá</t>
  </si>
  <si>
    <t>UNIVERSIDADE FEDERAL DE JATAI</t>
  </si>
  <si>
    <t>35.840.659/0001-30</t>
  </si>
  <si>
    <t>UNIVERSIDADE FEDERAL DE JATAÍ (UFJ)</t>
  </si>
  <si>
    <t>UFJ</t>
  </si>
  <si>
    <t>(64) 3606 8202</t>
  </si>
  <si>
    <t>secretaria.executiva@ufj.edu.br</t>
  </si>
  <si>
    <t>Rodovia BR-364 - - CEP: 75801-615 - Setor Francisco Antônio</t>
  </si>
  <si>
    <t>Jataí</t>
  </si>
  <si>
    <t>UNIVERSIDADE FEDERAL DE JUIZ DE FORA UFJF</t>
  </si>
  <si>
    <t>21.195.755/0001-69</t>
  </si>
  <si>
    <t>UNIVERSIDADE FEDERAL DE JUIZ DE FORA (UFJF)</t>
  </si>
  <si>
    <t>UFJF</t>
  </si>
  <si>
    <t>(32)2102-3903</t>
  </si>
  <si>
    <t>www.ufjf.br</t>
  </si>
  <si>
    <t>piufjf.regulacao@ufjf.br</t>
  </si>
  <si>
    <t>Campus Universitário - s/n - CEP: 36036-900 - São Pedro</t>
  </si>
  <si>
    <t>Juiz de Fora</t>
  </si>
  <si>
    <t>UNIVERSIDADE FEDERAL DE LAVRAS</t>
  </si>
  <si>
    <t>22.078.679/0001-74</t>
  </si>
  <si>
    <t>UNIVERSIDADE FEDERAL DE LAVRAS (UFLA)</t>
  </si>
  <si>
    <t>UFLA</t>
  </si>
  <si>
    <t>(35) 3829-1546; 35 988554791</t>
  </si>
  <si>
    <t>www.ufla.br</t>
  </si>
  <si>
    <t>dias@ufla.br;claudiapontello@hotmail.com</t>
  </si>
  <si>
    <t>Trevo Rotatório Professor Edmir Sá Santos - S/N - CEP: 37203-202 - Universidade Federal de Lavras</t>
  </si>
  <si>
    <t>Lavras</t>
  </si>
  <si>
    <t>FUNDACAO UNIVERSIDADE FEDERAL DE MATO GROSSO</t>
  </si>
  <si>
    <t>33.004.540/0001-00</t>
  </si>
  <si>
    <t>UNIVERSIDADE FEDERAL DE MATO GROSSO (UFMT)</t>
  </si>
  <si>
    <t>UFMT</t>
  </si>
  <si>
    <t>(65) 3615 8302</t>
  </si>
  <si>
    <t>www.ufmt.br</t>
  </si>
  <si>
    <t>ufmt@ufmt.br</t>
  </si>
  <si>
    <t>Avenida Fernando Correa da Costa - 2367 - CEP: 78060-900 - Boa Esperança</t>
  </si>
  <si>
    <t>Cuiabá</t>
  </si>
  <si>
    <t>MT</t>
  </si>
  <si>
    <t>FUNDACAO UNIVERSIDADE FEDERAL DE MATO GROSSO DO SUL</t>
  </si>
  <si>
    <t>15.461.510/0001-33</t>
  </si>
  <si>
    <t>UNIVERSIDADE FEDERAL DE MATO GROSSO DO SUL (UFMS)</t>
  </si>
  <si>
    <t>UFMS</t>
  </si>
  <si>
    <t>(67) 3345-7010 E/OU 3345-7017</t>
  </si>
  <si>
    <t>www.ufms.br</t>
  </si>
  <si>
    <t>reitoria@ufms.br</t>
  </si>
  <si>
    <t>Av. Costa e Silva - s/n - CEP: 79070-900 - Cidade Universitária</t>
  </si>
  <si>
    <t>Campo Grande</t>
  </si>
  <si>
    <t>UNIVERSIDADE FEDERAL DE MINAS GERAIS</t>
  </si>
  <si>
    <t>17.217.985/0001-04</t>
  </si>
  <si>
    <t>UNIVERSIDADE FEDERAL DE MINAS GERAIS (UFMG)</t>
  </si>
  <si>
    <t>UFMG</t>
  </si>
  <si>
    <t>(31) 3409 4124</t>
  </si>
  <si>
    <t>www.ufmg.br</t>
  </si>
  <si>
    <t>reitor@ufmg.br; info@dai.ufmg.br</t>
  </si>
  <si>
    <t>Avenida Antonio Carlos - 6627 - CEP: 31270-901 - Pampulha</t>
  </si>
  <si>
    <t>Belo Horizonte</t>
  </si>
  <si>
    <t>UNIVERSIDADE FEDERAL DE OURO PRETO</t>
  </si>
  <si>
    <t>23.070.659/0001-10</t>
  </si>
  <si>
    <t>UNIVERSIDADE FEDERAL DE OURO PRETO (UFOP)</t>
  </si>
  <si>
    <t>UFOP</t>
  </si>
  <si>
    <t>(31)3559-1218</t>
  </si>
  <si>
    <t>www.ufop.br</t>
  </si>
  <si>
    <t>reitoria@ufop.edu.br</t>
  </si>
  <si>
    <t>Rua Diogo de Vasconcelos - 122 - CEP: 35400-000 - Centro</t>
  </si>
  <si>
    <t>Ouro Preto</t>
  </si>
  <si>
    <t>UNIVERSIDADE FEDERAL DE PELOTAS</t>
  </si>
  <si>
    <t>92.242.080/0001-00</t>
  </si>
  <si>
    <t>UNIVERSIDADE FEDERAL DE PELOTAS (UFPEL)</t>
  </si>
  <si>
    <t>UFPEL</t>
  </si>
  <si>
    <t>53 3284 4001</t>
  </si>
  <si>
    <t>www.ufpel.edu.br</t>
  </si>
  <si>
    <t>reitoria@ufpel.edu.br</t>
  </si>
  <si>
    <t>Rua Gomes Carneiro - 1 - CEP: 96010-610 - Centro</t>
  </si>
  <si>
    <t>Pelotas</t>
  </si>
  <si>
    <t>UNIVERSIDADE FEDERAL DE PERNAMBUCO</t>
  </si>
  <si>
    <t>24.134.488/0001-08</t>
  </si>
  <si>
    <t>UNIVERSIDADE FEDERAL DE PERNAMBUCO (UFPE)</t>
  </si>
  <si>
    <t>UFPE</t>
  </si>
  <si>
    <t>81 2126 8001</t>
  </si>
  <si>
    <t>www.ufpe.br</t>
  </si>
  <si>
    <t>gabinete@ufpe.br</t>
  </si>
  <si>
    <t>Av. Prof. Moraes Rego - 1.235 - CEP: 50670-901 - Cidade Universitária</t>
  </si>
  <si>
    <t>Recife</t>
  </si>
  <si>
    <t>UNIVERSIDADE FEDERAL DE RONDONOPOLIS</t>
  </si>
  <si>
    <t>35.854.176/0001-95</t>
  </si>
  <si>
    <t>Universidade Federal de Rondonópolis (UFR)</t>
  </si>
  <si>
    <t>UFR</t>
  </si>
  <si>
    <t>66-3410-4171</t>
  </si>
  <si>
    <t>https://ufr.edu.br/</t>
  </si>
  <si>
    <t>reitoria@ufr.edu.br</t>
  </si>
  <si>
    <t>Av Avenida dos Estudantes - 5055 - CEP: 78736-900 - Cidade Universitária</t>
  </si>
  <si>
    <t>Rondonópolis</t>
  </si>
  <si>
    <t>UNIVERSIDADE FEDERAL DE RORAIMA</t>
  </si>
  <si>
    <t>34.792.077/0001-63</t>
  </si>
  <si>
    <t>UNIVERSIDADE FEDERAL DE RORAIMA (UFRR)</t>
  </si>
  <si>
    <t>UFRR</t>
  </si>
  <si>
    <t>(95) 3621 3100/(95) 3621 3102</t>
  </si>
  <si>
    <t>www.ufrr.br</t>
  </si>
  <si>
    <t>pesquisainstitucional@ufrr.br; reitoria@ufrr.br</t>
  </si>
  <si>
    <t>Avenida Capitão Ene Garcez - 2413 - CEP: 69310-000 - Aeroporto</t>
  </si>
  <si>
    <t>Boa Vista</t>
  </si>
  <si>
    <t>RR</t>
  </si>
  <si>
    <t>UNIVERSIDADE FEDERAL DE SANTA CATARINA</t>
  </si>
  <si>
    <t>83.899.526/0001-82</t>
  </si>
  <si>
    <t>UNIVERSIDADE FEDERAL DE SANTA CATARINA (UFSC)</t>
  </si>
  <si>
    <t>UFSC</t>
  </si>
  <si>
    <t>(48) 3721 6018</t>
  </si>
  <si>
    <t>www.ufsc.br</t>
  </si>
  <si>
    <t>gr@contato.ufsc.br</t>
  </si>
  <si>
    <t>Campus Universitário - s/n - CEP: 88040-900 - Trindade</t>
  </si>
  <si>
    <t>Florianópolis</t>
  </si>
  <si>
    <t>UNIVERSIDADE FEDERAL DE SANTA MARIA</t>
  </si>
  <si>
    <t>95.591.764/0001-05</t>
  </si>
  <si>
    <t>UNIVERSIDADE FEDERAL DE SANTA MARIA (UFSM)</t>
  </si>
  <si>
    <t>UFSM</t>
  </si>
  <si>
    <t>(55) 3220 8000</t>
  </si>
  <si>
    <t>www.ufsm.br</t>
  </si>
  <si>
    <t>gabinetereitoria@ufsm.br</t>
  </si>
  <si>
    <t>Cidade Universitária Prof. José Mariano da Rocha Filho, Avenida Roraima - 1000 - CEP: 97105-900 - Camobi</t>
  </si>
  <si>
    <t>Santa Maria</t>
  </si>
  <si>
    <t>FUNDACAO UNIVERSIDADE FEDERAL DE SAO CARLOS</t>
  </si>
  <si>
    <t>45.358.058/0001-40</t>
  </si>
  <si>
    <t>UNIVERSIDADE FEDERAL DE SÃO CARLOS (UFSCAR)</t>
  </si>
  <si>
    <t>UFSCAR</t>
  </si>
  <si>
    <t>(16) 3351 8111</t>
  </si>
  <si>
    <t>www.ufscar.br</t>
  </si>
  <si>
    <t>reitoria@ufscar.br</t>
  </si>
  <si>
    <t>Via Washington Luis - Km 235 - CEP: 13565-905 - Monjolinho</t>
  </si>
  <si>
    <t>São Carlos</t>
  </si>
  <si>
    <t>UNIVERSIDADE FEDERAL DE SAO JOAO DEL-REI</t>
  </si>
  <si>
    <t>21.186.804/0001-05</t>
  </si>
  <si>
    <t>UNIVERSIDADE FEDERAL DE SÃO JOÃO DEL REI (UFSJ)</t>
  </si>
  <si>
    <t>UFSJ</t>
  </si>
  <si>
    <t>(32) 3379-5801/ 3379-5805</t>
  </si>
  <si>
    <t>http://www.ufsj.edu.br/</t>
  </si>
  <si>
    <t>reitoria@ufsj.edu.br</t>
  </si>
  <si>
    <t>Praça Frei Orlando - 170 - CEP: 36307-352 - Centro</t>
  </si>
  <si>
    <t>São João del Rei</t>
  </si>
  <si>
    <t>UNIVERSIDADE FEDERAL DE SAO PAULO</t>
  </si>
  <si>
    <t>60.453.032/0001-74</t>
  </si>
  <si>
    <t>UNIVERSIDADE FEDERAL DE SÃO PAULO (UNIFESP)</t>
  </si>
  <si>
    <t>UNIFESP</t>
  </si>
  <si>
    <t>(11) 3385-4100</t>
  </si>
  <si>
    <t>www.unifesp.br</t>
  </si>
  <si>
    <t>reitoria@unifesp.br</t>
  </si>
  <si>
    <t>Rua Sena Madureira - 1500 - CEP: 04021-001 - Vila Clementino</t>
  </si>
  <si>
    <t>São Paulo</t>
  </si>
  <si>
    <t>FUNDACAO UNIVERSIDADE FEDERAL DE SERGIPE</t>
  </si>
  <si>
    <t>13.031.547/0001-04</t>
  </si>
  <si>
    <t>UNIVERSIDADE FEDERAL DE SERGIPE (UFS)</t>
  </si>
  <si>
    <t>UFS</t>
  </si>
  <si>
    <t>(79) 3194-6404</t>
  </si>
  <si>
    <t>www.ufs.br</t>
  </si>
  <si>
    <t>gabinete.reitor@academico.ufs.br</t>
  </si>
  <si>
    <t>Avenida Marechal Rondon - s/n - CEP: 49100-000 - Jardim Rosa Elze</t>
  </si>
  <si>
    <t>São Cristóvão</t>
  </si>
  <si>
    <t>SE</t>
  </si>
  <si>
    <t>UNIVERSIDADE FEDERAL DE UBERLANDIA</t>
  </si>
  <si>
    <t>25.648.387/0001-18</t>
  </si>
  <si>
    <t>UNIVERSIDADE FEDERAL DE UBERLÂNDIA (UFU)</t>
  </si>
  <si>
    <t>UFU</t>
  </si>
  <si>
    <t>34-3239-4893</t>
  </si>
  <si>
    <t>www.ufu.br</t>
  </si>
  <si>
    <t>reitoria@ufu.br</t>
  </si>
  <si>
    <t>Avenida João Naves de Ávila - 2121 - CEP: 38400-902 - Santa Mônica</t>
  </si>
  <si>
    <t>Uberlândia</t>
  </si>
  <si>
    <t>UNIVERSIDADE FEDERAL DE VICOSA</t>
  </si>
  <si>
    <t>25.944.455/0001-96</t>
  </si>
  <si>
    <t>UNIVERSIDADE FEDERAL DE VIÇOSA (UFV)</t>
  </si>
  <si>
    <t>UFV</t>
  </si>
  <si>
    <t>(31)3612-1001</t>
  </si>
  <si>
    <t>www.ufv.br</t>
  </si>
  <si>
    <t>reitoria@ufv.br</t>
  </si>
  <si>
    <t>Av. P.H. Rolfs - s/n - CEP: 36570-000 - Campus Universitário</t>
  </si>
  <si>
    <t>Viçosa</t>
  </si>
  <si>
    <t>FUNDACAO UNIVERSIDADE FEDERAL DO ACRE</t>
  </si>
  <si>
    <t>04.071.106/0001-37</t>
  </si>
  <si>
    <t>UNIVERSIDADE FEDERAL DO ACRE (UFAC)</t>
  </si>
  <si>
    <t>UFAC</t>
  </si>
  <si>
    <t>(68) 3901 2571</t>
  </si>
  <si>
    <t>www.ufac.br</t>
  </si>
  <si>
    <t>reitoria@ufac.br</t>
  </si>
  <si>
    <t>Campus Universitário - 6637 - CEP: 69915-900 - Distrito Industrial</t>
  </si>
  <si>
    <t>Rio Branco</t>
  </si>
  <si>
    <t>AC</t>
  </si>
  <si>
    <t>UNIVERSIDADE FEDERAL DO AGRESTE DE PERNAMBUCO - UFAPE</t>
  </si>
  <si>
    <t>35.872.812/0001-01</t>
  </si>
  <si>
    <t>UNIVERSIDADE FEDERAL DO AGRESTE DE PERNAMBUCO (UFAPE )</t>
  </si>
  <si>
    <t>UFAPE</t>
  </si>
  <si>
    <t>(87) 37645551</t>
  </si>
  <si>
    <t>www.ufape.edu.br</t>
  </si>
  <si>
    <t>reitoria@ufape.edu.br</t>
  </si>
  <si>
    <t>Avenida Bom Pastor - S/N - CEP: 55292-270 - Boa Vista</t>
  </si>
  <si>
    <t>Garanhuns</t>
  </si>
  <si>
    <t>FUNDACAO UNIVERSIDADE FEDERAL DO AMAPA</t>
  </si>
  <si>
    <t>34.868.257/0001-81</t>
  </si>
  <si>
    <t>UNIVERSIDADE FEDERAL DO AMAPÁ (UNIFAP)</t>
  </si>
  <si>
    <t>UNIFAP</t>
  </si>
  <si>
    <t>(96) 3312-1705</t>
  </si>
  <si>
    <t>www.unifap.br</t>
  </si>
  <si>
    <t>unifap@unifap.br</t>
  </si>
  <si>
    <t>RODOVIA JOSMAR CHAVES PINTO - KM 02 - S/N - CEP: 68903-419 - JARDIM MARCO ZERO</t>
  </si>
  <si>
    <t>Macapá</t>
  </si>
  <si>
    <t>AP</t>
  </si>
  <si>
    <t>2</t>
  </si>
  <si>
    <t>FUNDACAO UNIVERSIDADE DO AMAZONAS</t>
  </si>
  <si>
    <t>04.378.626/0001-97</t>
  </si>
  <si>
    <t>UNIVERSIDADE FEDERAL DO AMAZONAS (UFAM)</t>
  </si>
  <si>
    <t>UFAM</t>
  </si>
  <si>
    <t>(92) 3305-4513</t>
  </si>
  <si>
    <t>www.ufam.edu.br</t>
  </si>
  <si>
    <t>gabinete@ufam.edu.br</t>
  </si>
  <si>
    <t>Av. Rodrigo Otávio - 6200 - CEP: 69077-000 - Coroado II</t>
  </si>
  <si>
    <t>Manaus</t>
  </si>
  <si>
    <t>AM</t>
  </si>
  <si>
    <t>UNIVERSIDADE FEDERAL DO CARIRI-UFCA</t>
  </si>
  <si>
    <t>18.621.825/0001-99</t>
  </si>
  <si>
    <t>UNIVERSIDADE FEDERAL DO CARIRI (UFCA)</t>
  </si>
  <si>
    <t>UFCA</t>
  </si>
  <si>
    <t>88-3221-9200</t>
  </si>
  <si>
    <t>www.ufca.edu.br</t>
  </si>
  <si>
    <t>reitor@ufca.edu.br</t>
  </si>
  <si>
    <t>Av. Tenente Raimundo Rocha - 1639 - CEP: 63048-080 - Cidade Universitária</t>
  </si>
  <si>
    <t>Juazeiro do Norte</t>
  </si>
  <si>
    <t>UNIVERSIDADE FEDERAL DO CEARA</t>
  </si>
  <si>
    <t>07.272.636/0001-31</t>
  </si>
  <si>
    <t>UNIVERSIDADE FEDERAL DO CEARÁ (UFC)</t>
  </si>
  <si>
    <t>UFC</t>
  </si>
  <si>
    <t>(85) 3366 7301/(85) 33667348/ (85) 33669020</t>
  </si>
  <si>
    <t>www.ufc.br</t>
  </si>
  <si>
    <t>greitor@ufc.br;prplufc@ufc.br;copav@prograd.ufc.br</t>
  </si>
  <si>
    <t>Av. da Universidade, 2853, Benfica. - 2853 - CEP: 60020-181 - Benfica</t>
  </si>
  <si>
    <t>Fortaleza</t>
  </si>
  <si>
    <t>UNIVERSIDADE FEDERAL DO DELTA DO PARNAIBA - UFDPAR</t>
  </si>
  <si>
    <t>33.519.114/0001-00</t>
  </si>
  <si>
    <t>UNIVERSIDADE FEDERAL DO DELTA DO PARNAIBA (UFDPAR)</t>
  </si>
  <si>
    <t>UFDPAR</t>
  </si>
  <si>
    <t>86995354224</t>
  </si>
  <si>
    <t>www.ufdpar.edu.br</t>
  </si>
  <si>
    <t>reitoria@ufdpar.edu.br</t>
  </si>
  <si>
    <t>Avenida São Sebastião - 2.819 - CEP: 64202-020 - Nossa Senhora de Fátima</t>
  </si>
  <si>
    <t>Parnaíba</t>
  </si>
  <si>
    <t>PI</t>
  </si>
  <si>
    <t>UNIVERSIDADE FEDERAL DO ESPIRITO SANTO</t>
  </si>
  <si>
    <t>32.479.123/0001-43</t>
  </si>
  <si>
    <t>UNIVERSIDADE FEDERAL DO ESPÍRITO SANTO (UFES)</t>
  </si>
  <si>
    <t>UFES</t>
  </si>
  <si>
    <t>(27) 4009 2200</t>
  </si>
  <si>
    <t>www.ufes.br</t>
  </si>
  <si>
    <t>reitor@ufes.br</t>
  </si>
  <si>
    <t>Av. Fernando Ferrari, 514, Goiabeiras. - 514 - CEP: 29075-910 - Goiabeiras</t>
  </si>
  <si>
    <t>Vitória</t>
  </si>
  <si>
    <t>ES</t>
  </si>
  <si>
    <t>UNIVERSIDADE FEDERAL DO ESTADO DO RIO DE JANEIRO</t>
  </si>
  <si>
    <t>34.023.077/0001-07</t>
  </si>
  <si>
    <t>UNIVERSIDADE FEDERAL DO ESTADO DO RIO DE JANEIRO (UNIRIO)</t>
  </si>
  <si>
    <t>UNIRIO</t>
  </si>
  <si>
    <t>(21)2542-7350/(21)2542-4067</t>
  </si>
  <si>
    <t>www.unirio.br</t>
  </si>
  <si>
    <t>reitor@unirio.br; pi@unirio.br</t>
  </si>
  <si>
    <t>Avenida Pasteur - 296 - CEP: 22290-240 - Urca</t>
  </si>
  <si>
    <t>Rio de Janeiro</t>
  </si>
  <si>
    <t>RJ</t>
  </si>
  <si>
    <t>FUNDACAO UNIVERSIDADE FEDERAL DO MARANHAO</t>
  </si>
  <si>
    <t>06.279.103/0001-19</t>
  </si>
  <si>
    <t>UNIVERSIDADE FEDERAL DO MARANHÃO (UFMA)</t>
  </si>
  <si>
    <t>UFMA</t>
  </si>
  <si>
    <t>(98) 3272 8004</t>
  </si>
  <si>
    <t>www.ufma.br</t>
  </si>
  <si>
    <t>reitoria@ufma.br</t>
  </si>
  <si>
    <t>Avenida dos Portugueses - 1966 - CEP: 65080-805 - Vila Bacanga</t>
  </si>
  <si>
    <t>São Luís</t>
  </si>
  <si>
    <t>MA</t>
  </si>
  <si>
    <t>UNIVERSIDADE FEDERAL DO NORTE DO TOCANTINS - UFNT</t>
  </si>
  <si>
    <t>38.178.825/0001-73</t>
  </si>
  <si>
    <t>Universidade Federal do Norte do Tocantins (UFNT)</t>
  </si>
  <si>
    <t>UFNT</t>
  </si>
  <si>
    <t>6334165601</t>
  </si>
  <si>
    <t>www.ufnt.edu.br</t>
  </si>
  <si>
    <t>pei@ufnt.edu.br</t>
  </si>
  <si>
    <t>Paraguai - S/N - CEP: 77824-838 - Bairro da Cimba</t>
  </si>
  <si>
    <t>Araguaína</t>
  </si>
  <si>
    <t>UNIVERSIDADE FEDERAL DO OESTE DA BAHIA</t>
  </si>
  <si>
    <t>18.641.263/0001-45</t>
  </si>
  <si>
    <t>UNIVERSIDADE FEDERAL DO OESTE DA BAHIA (UFOB)</t>
  </si>
  <si>
    <t>UFOB</t>
  </si>
  <si>
    <t>3614-3500</t>
  </si>
  <si>
    <t>https://www.ufob.edu.br</t>
  </si>
  <si>
    <t>GABINETE@UFOB.EDU.BR</t>
  </si>
  <si>
    <t>Rua Professor José Seabra - S/N - CEP: 47805-100 - Centro</t>
  </si>
  <si>
    <t>Barreiras</t>
  </si>
  <si>
    <t>UNIVERSIDADE FEDERAL DO OESTE DO PARA</t>
  </si>
  <si>
    <t>11.118.393/0001-59</t>
  </si>
  <si>
    <t>UNIVERSIDADE FEDERAL DO OESTE DO PARÁ (UFOPA)</t>
  </si>
  <si>
    <t>UFOPA</t>
  </si>
  <si>
    <t>9,3210149112e+25</t>
  </si>
  <si>
    <t>www.ufopa.edu.br</t>
  </si>
  <si>
    <t>regulacaodecurso.proen@ufopa.edu.br; reitoria@ufopa.edu.br</t>
  </si>
  <si>
    <t>Avenida Vera Paz - s/n - CEP: 68040-255 - Salé</t>
  </si>
  <si>
    <t>Santarém</t>
  </si>
  <si>
    <t>PA</t>
  </si>
  <si>
    <t>UNIVERSIDADE FEDERAL DO PARA</t>
  </si>
  <si>
    <t>34.621.748/0001-23</t>
  </si>
  <si>
    <t>UNIVERSIDADE FEDERAL DO PARÁ (UFPA)</t>
  </si>
  <si>
    <t>UFPA</t>
  </si>
  <si>
    <t>(91)32017112</t>
  </si>
  <si>
    <t>www.ufpa.br</t>
  </si>
  <si>
    <t>reitor@ufpa.br;dinfi@ufpa.br;cpa.ufpa@gmail.com;pi@ufpa.br</t>
  </si>
  <si>
    <t>RUA AUGUSTO CORREA - 01 - CEP: 66075-110 - GUAMÁ</t>
  </si>
  <si>
    <t>Belém</t>
  </si>
  <si>
    <t>UNIVERSIDADE FEDERAL DO PARANA</t>
  </si>
  <si>
    <t>75.095.679/0001-49</t>
  </si>
  <si>
    <t>UNIVERSIDADE FEDERAL DO PARANÁ (UFPR)</t>
  </si>
  <si>
    <t>UFPR</t>
  </si>
  <si>
    <t>(41)3360-5001</t>
  </si>
  <si>
    <t>www.ufpr.br</t>
  </si>
  <si>
    <t>ciai_prograp@ufpr.br</t>
  </si>
  <si>
    <t>RUA XV DE NOVEMBRO - 1299 - CEP: 80060-000 - CENTRO</t>
  </si>
  <si>
    <t>Curitiba</t>
  </si>
  <si>
    <t>FUNDACAO UNIVERSIDADE FEDERAL DO PIAUI</t>
  </si>
  <si>
    <t>06.517.387/0001-34</t>
  </si>
  <si>
    <t>UNIVERSIDADE FEDERAL DO PIAUÍ (UFPI)</t>
  </si>
  <si>
    <t>UFPI</t>
  </si>
  <si>
    <t>(86) 3215-5510; 3215-5511; 3215-5512</t>
  </si>
  <si>
    <t>www.ufpi.br</t>
  </si>
  <si>
    <t>reitoria@ufpi.edu.br</t>
  </si>
  <si>
    <t>Campus Universitário Ministro Petrônio Portela - s/n - CEP: 64049-550 - Ininga</t>
  </si>
  <si>
    <t>Teresina</t>
  </si>
  <si>
    <t>UNIVERSIDADE FEDERAL DO RECONCAVO DA BAHIA - UFRB</t>
  </si>
  <si>
    <t>07.777.800/0001-62</t>
  </si>
  <si>
    <t>UNIVERSIDADE FEDERAL DO RECÔNCAVO DA BAHIA (UFRB)</t>
  </si>
  <si>
    <t>UFRB</t>
  </si>
  <si>
    <t>(75) 3621 2350</t>
  </si>
  <si>
    <t>www.ufrb.edu.br</t>
  </si>
  <si>
    <t>pei@reitoria.ufrb.edu.br</t>
  </si>
  <si>
    <t>Rua Rui Barbosa - 710 - CEP: 44380-000 - Centro</t>
  </si>
  <si>
    <t>Cruz das Almas</t>
  </si>
  <si>
    <t>UNIVERSIDADE FEDERAL DO RIO DE JANEIRO</t>
  </si>
  <si>
    <t>33.663.683/0001-16</t>
  </si>
  <si>
    <t>UNIVERSIDADE FEDERAL DO RIO DE JANEIRO (UFRJ)</t>
  </si>
  <si>
    <t>UFRJ</t>
  </si>
  <si>
    <t>(21) 3733-1985</t>
  </si>
  <si>
    <t>www.ufrj.br</t>
  </si>
  <si>
    <t>reitoria@reitoria.ufrj.br; vicereitoria@reitoria.ufrj.br</t>
  </si>
  <si>
    <t>Avenida Brigadeiro Trompowsky - s/n - CEP: 21941-590 - Ilha do Fundão</t>
  </si>
  <si>
    <t>UNIVERSIDADE FEDERAL DO RIO GRANDE - FURG</t>
  </si>
  <si>
    <t>94.877.586/0001-10</t>
  </si>
  <si>
    <t>UNIVERSIDADE FEDERAL DO RIO GRANDE (FURG)</t>
  </si>
  <si>
    <t>FURG</t>
  </si>
  <si>
    <t>(53) 3233 6730</t>
  </si>
  <si>
    <t>www.furg.br</t>
  </si>
  <si>
    <t>reitoria@furg.br</t>
  </si>
  <si>
    <t>Avenida Itália - S/N - CEP: 96203-900 - Carreiros</t>
  </si>
  <si>
    <t>Rio Grande</t>
  </si>
  <si>
    <t>UNIVERSIDADE FEDERAL DO RIO GRANDE DO NORTE</t>
  </si>
  <si>
    <t>24.365.710/0001-83</t>
  </si>
  <si>
    <t>UNIVERSIDADE FEDERAL DO RIO GRANDE DO NORTE (UFRN)</t>
  </si>
  <si>
    <t>UFRN</t>
  </si>
  <si>
    <t>(84) 33422317</t>
  </si>
  <si>
    <t>www.ufrn.br</t>
  </si>
  <si>
    <t>reitor@ufrn.br;contato@gabinete.ufrn.br;chefe@gabinete.ufrn.br</t>
  </si>
  <si>
    <t>Avenida Senador Salgado Filho - 3000 - CEP: 59078-970 - Lagoa Nova</t>
  </si>
  <si>
    <t>Natal</t>
  </si>
  <si>
    <t>RN</t>
  </si>
  <si>
    <t>UNIVERSIDADE FEDERAL DO RIO GRANDE DO SUL</t>
  </si>
  <si>
    <t>92.969.856/0001-98</t>
  </si>
  <si>
    <t>UNIVERSIDADE FEDERAL DO RIO GRANDE DO SUL (UFRGS)</t>
  </si>
  <si>
    <t>UFRGS</t>
  </si>
  <si>
    <t>(51) 3308 3700</t>
  </si>
  <si>
    <t>www.ufrgs.br</t>
  </si>
  <si>
    <t>reitora@ufrgs.br; regulacao@sai.ufrgs.br</t>
  </si>
  <si>
    <t>Avenida Paulo Gama - 110 - CEP: 90040-060 - Farroupilha</t>
  </si>
  <si>
    <t>UNIVERSIDADE FEDERAL DO SUL DA BAHIA</t>
  </si>
  <si>
    <t>18.560.547/0001-07</t>
  </si>
  <si>
    <t>UNIVERSIDADE FEDERAL DO SUL DA BAHIA (UFSB)</t>
  </si>
  <si>
    <t>UFSB</t>
  </si>
  <si>
    <t>73 36135497</t>
  </si>
  <si>
    <t>www.ufsb.edu.br</t>
  </si>
  <si>
    <t>reitoria@ufsb.edu.br</t>
  </si>
  <si>
    <t>Praça José Bastos s/n - s/n - CEP: 45600-923 - Centro</t>
  </si>
  <si>
    <t>Itabuna</t>
  </si>
  <si>
    <t>UNIVERSIDADE FEDERAL DO SUL E SUDESTE DO PARA - UNIFESSPA</t>
  </si>
  <si>
    <t>18.657.063/0001-80</t>
  </si>
  <si>
    <t>UNIVERSIDADE FEDERAL DO SUL E SUDESTE DO PARÁ (UNIFESSPA)</t>
  </si>
  <si>
    <t>UNIFESSPA</t>
  </si>
  <si>
    <t>(094)21017100;(094)8112999</t>
  </si>
  <si>
    <t>www.unifesspa.edu.br</t>
  </si>
  <si>
    <t>gabinete@unifesspa.edu.br</t>
  </si>
  <si>
    <t>Folha 31, Quadra 7, Lote Especial s/n - 7 - CEP: 68507-670 - Nova Marabá</t>
  </si>
  <si>
    <t>Marabá</t>
  </si>
  <si>
    <t>UNIVERSIDADE FEDERAL DOS VALES DO JEQUITINHONHA E MUCURI</t>
  </si>
  <si>
    <t>16.888.315/0001-57</t>
  </si>
  <si>
    <t>UNIVERSIDADE FEDERAL DOS VALES DO JEQUITINHONHA E MUCURI (UFVJM)</t>
  </si>
  <si>
    <t>UFVJM</t>
  </si>
  <si>
    <t>38-3532-1200</t>
  </si>
  <si>
    <t>www.ufvjm.edu.br</t>
  </si>
  <si>
    <t>avaex.prograd@ufvjm.edu.br</t>
  </si>
  <si>
    <t>MGT 367 - 5000 - CEP: 39100-000 - Alto do Jacuba</t>
  </si>
  <si>
    <t>Diamantina</t>
  </si>
  <si>
    <t>UNIVERSIDADE FEDERAL DO TRIANGULO MINEIRO</t>
  </si>
  <si>
    <t>25.437.484/0001-61</t>
  </si>
  <si>
    <t>UNIVERSIDADE FEDERAL DO TRIÂNGULO MINEIRO (UFTM)</t>
  </si>
  <si>
    <t>UFTM</t>
  </si>
  <si>
    <t>(34) 3700-6000</t>
  </si>
  <si>
    <t>www.uftm.edu.br</t>
  </si>
  <si>
    <t>gabinete@uftm.edu.br</t>
  </si>
  <si>
    <t>Rua Frei Paulino - 30 - CEP: 38025-180 - Abadia</t>
  </si>
  <si>
    <t>Uberaba</t>
  </si>
  <si>
    <t>UNIVERSIDADE FEDERAL FLUMINENSE</t>
  </si>
  <si>
    <t>28.523.215/0001-06</t>
  </si>
  <si>
    <t>UNIVERSIDADE FEDERAL FLUMINENSE (UFF)</t>
  </si>
  <si>
    <t>UFF</t>
  </si>
  <si>
    <t>(21) 2629-5215</t>
  </si>
  <si>
    <t>www.uff.br</t>
  </si>
  <si>
    <t>reitor@id.uff.br;dav.prograd@id.uff.br</t>
  </si>
  <si>
    <t>Rua Miguel de Frias - 9 - CEP: 24220-008 - Icaraí</t>
  </si>
  <si>
    <t>Niterói</t>
  </si>
  <si>
    <t>UNIVERSIDADE FEDERAL RURAL DA AMAZONIA</t>
  </si>
  <si>
    <t>05.200.001/0001-01</t>
  </si>
  <si>
    <t>UNIVERSIDADE FEDERAL RURAL DA AMAZÔNIA (UFRA)</t>
  </si>
  <si>
    <t>UFRA</t>
  </si>
  <si>
    <t>(91) 992157658 /</t>
  </si>
  <si>
    <t>www.ufra.edu.br</t>
  </si>
  <si>
    <t>dra@ufra.edu.br;jose.viana@ufra.edu.br; reitoria@ufra.edu.br</t>
  </si>
  <si>
    <t>Avenida Presidente Tancredo Neves - 2501 - CEP: 66077-580 - Terra Firme</t>
  </si>
  <si>
    <t>UNIVERSIDADE FEDERAL RURAL DE PERNAMBUCO</t>
  </si>
  <si>
    <t>24.416.174/0001-06</t>
  </si>
  <si>
    <t>UNIVERSIDADE FEDERAL RURAL DE PERNAMBUCO (UFRPE)</t>
  </si>
  <si>
    <t>UFRPE</t>
  </si>
  <si>
    <t>(81) 3320 6175</t>
  </si>
  <si>
    <t>www.ufrpe.br</t>
  </si>
  <si>
    <t>reitoria@ufrpe.br</t>
  </si>
  <si>
    <t>Rua Dom Manoel de Medeiros - s/n - CEP: 52071-030 - Dois Irmãos</t>
  </si>
  <si>
    <t>UNIVERSIDADE FEDERAL RURAL DO RIO DE JANEIRO</t>
  </si>
  <si>
    <t>29.427.465/0001-05</t>
  </si>
  <si>
    <t>UNIVERSIDADE FEDERAL RURAL DO RIO DE JANEIRO (UFRRJ)</t>
  </si>
  <si>
    <t>UFRRJ</t>
  </si>
  <si>
    <t>(21) 2682-1090</t>
  </si>
  <si>
    <t>gabinete@ufrrj.br</t>
  </si>
  <si>
    <t>Rodovia BR 465 - KM 7 - s/n - CEP: 23890-000 - Campus Universitário</t>
  </si>
  <si>
    <t>Seropédica</t>
  </si>
  <si>
    <t>UNIVERSIDADE FEDERAL RURAL DO SEMI-ARIDO - UFERSA</t>
  </si>
  <si>
    <t>24.529.265/0001-40</t>
  </si>
  <si>
    <t>UNIVERSIDADE FEDERAL RURAL DO SEMI-ÁRIDO (UFERSA)</t>
  </si>
  <si>
    <t>UFERSA</t>
  </si>
  <si>
    <t>(84) 3317 8226</t>
  </si>
  <si>
    <t>www.ufersa.edu.br</t>
  </si>
  <si>
    <t>reitor@ufersa.edu.br</t>
  </si>
  <si>
    <t>BR 110 - Km 47 - s/n - CEP: 59625-900 - Presidente Costa e Silva</t>
  </si>
  <si>
    <t>Mossoró</t>
  </si>
  <si>
    <t>UNIVERSIDADE TECNOLOGICA FEDERAL DO PARANA</t>
  </si>
  <si>
    <t>75.101.873/0001-90</t>
  </si>
  <si>
    <t>UNIVERSIDADE TECNOLÓGICA FEDERAL DO PARANÁ (UTFPR)</t>
  </si>
  <si>
    <t>UTFPR</t>
  </si>
  <si>
    <t>(41) 33104545</t>
  </si>
  <si>
    <t>www.utfpr.edu.br</t>
  </si>
  <si>
    <t>reitoria@utfpr.edu.br</t>
  </si>
  <si>
    <t>Av. Sete de Setembro - 3.165 - CEP: 80230-010 - Rebouças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</si>
</sst>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3" fontId="0" fillId="0" borderId="0" xfId="0" applyNumberFormat="1"/>
  </cellXfs>
  <cellStyles count="1">
    <cellStyle name="Normal" xfId="0" builtinId="0"/>
  </cellStyles>
  <dxfs count="25"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or" refreshedDate="46291.744408333332" createdVersion="8" refreshedVersion="8" minRefreshableVersion="3" recordCount="1404" xr:uid="{919033B8-19ED-4766-AE7C-E40918A88C75}">
  <cacheSource type="worksheet">
    <worksheetSource name="despesasPorOrgao"/>
  </cacheSource>
  <cacheFields count="10">
    <cacheField name="Mês Ano" numFmtId="14">
      <sharedItems containsSemiMixedTypes="0" containsNonDate="0" containsDate="1" containsString="0" minDate="2024-01-01T00:00:00" maxDate="2024-12-02T00:00:00" count="12">
        <d v="2024-04-01T00:00:00"/>
        <d v="2024-08-01T00:00:00"/>
        <d v="2024-10-01T00:00:00"/>
        <d v="2024-07-01T00:00:00"/>
        <d v="2024-11-01T00:00:00"/>
        <d v="2024-12-01T00:00:00"/>
        <d v="2024-03-01T00:00:00"/>
        <d v="2024-09-01T00:00:00"/>
        <d v="2024-01-01T00:00:00"/>
        <d v="2024-02-01T00:00:00"/>
        <d v="2024-06-01T00:00:00"/>
        <d v="2024-05-01T00:00:00"/>
      </sharedItems>
      <fieldGroup par="9"/>
    </cacheField>
    <cacheField name="Órgão Superior" numFmtId="0">
      <sharedItems/>
    </cacheField>
    <cacheField name="Órgão/Entidade Vinculada" numFmtId="0">
      <sharedItems count="117">
        <s v="26256 - Centro Federal de Educação Tecnológica Celso Suckow da Fonseca"/>
        <s v="26257 - Centro Federal de Educação Tecnológica de Minas Gerais"/>
        <s v="26201 - Colégio Pedro II"/>
        <s v="26443 - Empresa Brasileira de Serviços Hospitalares"/>
        <s v="26291 - Fundação Coordenação de Aperfeiçoamento de Pessoal de Nível Superior"/>
        <s v="26292 - Fundação Joaquim Nabuco"/>
        <s v="26271 - Fundação Universidade de Brasília"/>
        <s v="26270 - Fundação Universidade do Amazonas"/>
        <s v="26272 - Fundação Universidade do Maranhão"/>
        <s v="26350 - Fundação Universidade Federal da Grande Dourados"/>
        <s v="26284 - Fundação Universidade Federal de Ciências da Saúde de Porto Alegre"/>
        <s v="26278 - Fundação Universidade Federal de Pelotas"/>
        <s v="26268 - Fundação Universidade Federal de Rondônia"/>
        <s v="26281 - Fundação Universidade Federal de Sergipe"/>
        <s v="26280 - Fundação Universidade Federal de São Carlos"/>
        <s v="26285 - Fundação Universidade Federal de São João Del-Rei"/>
        <s v="26274 - Fundação Universidade Federal de Uberlândia"/>
        <s v="26352 - Fundação Universidade Federal do ABC"/>
        <s v="26275 - Fundação Universidade Federal do Acre"/>
        <s v="26286 - Fundação Universidade Federal do Amapá"/>
        <s v="26276 - Fundação Universidade Federal do Mato Grosso"/>
        <s v="26283 - Fundação Universidade Federal do Mato Grosso do Sul"/>
        <s v="26266 - Fundação Universidade Federal do Pampa"/>
        <s v="26279 - Fundação Universidade Federal do Piauí"/>
        <s v="26251 - Fundação Universidade Federal do Tocantins"/>
        <s v="26230 - Fundação Universidade Federal do Vale do São Francisco"/>
        <s v="26298 - Fundo Nacional de Desenvolvimento da Educação"/>
        <s v="26294 - Hospital de Clínicas de Porto Alegre"/>
        <s v="26404 - Instituto Federal de Educação, Ciência e Tecnologia Baiano"/>
        <s v="26422 - Instituto Federal de Educação, Ciência e Tecnologia Catarinense"/>
        <s v="26427 - Instituto Federal de Educação, Ciência e Tecnologia da Bahia"/>
        <s v="26417 - Instituto Federal de Educação, Ciência e Tecnologia da Paraíba"/>
        <s v="26402 - Instituto Federal de Educação, Ciência e Tecnologia de Alagoas"/>
        <s v="26428 - Instituto Federal de Educação, Ciência e Tecnologia de Brasília"/>
        <s v="26429 - Instituto Federal de Educação, Ciência e Tecnologia de Goiás"/>
        <s v="26409 - Instituto Federal de Educação, Ciência e Tecnologia de Minas Gerais"/>
        <s v="26418 - Instituto Federal de Educação, Ciência e Tecnologia de Pernambuco"/>
        <s v="26421 - Instituto Federal de Educação, Ciência e Tecnologia de Rondônia"/>
        <s v="26437 - Instituto Federal de Educação, Ciência e Tecnologia de Roraima"/>
        <s v="26438 - Instituto Federal de Educação, Ciência e Tecnologia de Santa Catarina"/>
        <s v="26423 - Instituto Federal de Educação, Ciência e Tecnologia de Sergipe"/>
        <s v="26439 - Instituto Federal de Educação, Ciência e Tecnologia de São Paulo"/>
        <s v="26425 - Instituto Federal de Educação, Ciência e Tecnologia do Acre"/>
        <s v="26426 - Instituto Federal de Educação, Ciência e Tecnologia do Amapá"/>
        <s v="26403 - Instituto Federal de Educação, Ciência e Tecnologia do Amazonas"/>
        <s v="26405 - Instituto Federal de Educação, Ciência e Tecnologia do Ceará"/>
        <s v="26406 - Instituto Federal de Educação, Ciência e Tecnologia do Espírito Santo"/>
        <s v="26408 - Instituto Federal de Educação, Ciência e Tecnologia do Maranhão"/>
        <s v="26414 - Instituto Federal de Educação, Ciência e Tecnologia do Mato Grosso"/>
        <s v="26415 - Instituto Federal de Educação, Ciência e Tecnologia do Mato Grosso do Sul"/>
        <s v="26410 - Instituto Federal de Educação, Ciência e Tecnologia do Norte de Minas Gerais"/>
        <s v="26416 - Instituto Federal de Educação, Ciência e Tecnologia do Pará"/>
        <s v="26431 - Instituto Federal de Educação, Ciência e Tecnologia do Piauí"/>
        <s v="26433 - Instituto Federal de Educação, Ciência e Tecnologia do Rio de Janeiro"/>
        <s v="26435 - Instituto Federal de Educação, Ciência e Tecnologia do Rio Grande do Norte"/>
        <s v="26419 - Instituto Federal de Educação, Ciência e Tecnologia do Rio Grande do Sul"/>
        <s v="26430 - Instituto Federal de Educação, Ciência e Tecnologia do Sertão de Pernambuco"/>
        <s v="26411 - Instituto Federal de Educação, Ciência e Tecnologia do Sudeste de Minas Gerais"/>
        <s v="26412 - Instituto Federal de Educação, Ciência e Tecnologia do Sul de Minas Gerais"/>
        <s v="26424 - Instituto Federal de Educação, Ciência e Tecnologia do Tocantins"/>
        <s v="26413 - Instituto Federal de Educação, Ciência e Tecnologia do Triângulo Mineiro"/>
        <s v="26420 - Instituto Federal de Educação, Ciência e Tecnologia Farroupilha"/>
        <s v="26434 - Instituto Federal de Educação, Ciência e Tecnologia Fluminense"/>
        <s v="26407 - Instituto Federal de Educação, Ciência e Tecnologia Goiano"/>
        <s v="26436 - Instituto Federal de Educação, Ciência e Tecnologia Sul-rio-grandense"/>
        <s v="26432 - Instituto Federal do Paraná"/>
        <s v="26290 - Instituto Nacional de Estudos e Pesquisas Educacionais Anísio Teixeira"/>
        <s v="26000 - Ministério da Educação - Unidades com vínculo direto"/>
        <s v="26442 - Universidade da Integração Internacional da Lusofonia Afro-Brasileira"/>
        <s v="26232 - Universidade Federal da Bahia"/>
        <s v="26440 - Universidade Federal da Fronteira Sul"/>
        <s v="26267 - Universidade Federal da Integração Latino-Americana"/>
        <s v="26240 - Universidade Federal da Paraíba"/>
        <s v="26231 - Universidade Federal de Alagoas"/>
        <s v="26260 - Universidade Federal de Alfenas"/>
        <s v="26252 - Universidade Federal de Campina Grande"/>
        <s v="26452 - Universidade Federal de Catalão"/>
        <s v="26235 - Universidade Federal de Goiás"/>
        <s v="26261 - Universidade Federal de Itajubá"/>
        <s v="26453 - Universidade Federal de Jataí"/>
        <s v="26237 - Universidade Federal de Juiz de Fora"/>
        <s v="26263 - Universidade Federal de Lavras"/>
        <s v="26238 - Universidade Federal de Minas Gerais"/>
        <s v="26277 - Universidade Federal de Ouro Preto"/>
        <s v="26242 - Universidade Federal de Pernambuco"/>
        <s v="26454 - Universidade Federal de Rondonópolis"/>
        <s v="26250 - Universidade Federal de Roraima"/>
        <s v="26246 - Universidade Federal de Santa Catarina"/>
        <s v="26247 - Universidade Federal de Santa Maria"/>
        <s v="26262 - Universidade Federal de São Paulo"/>
        <s v="26282 - Universidade Federal de Viçosa"/>
        <s v="26456 - Universidade Federal do Agreste de Pernambuco"/>
        <s v="26449 - Universidade Federal do Cariri"/>
        <s v="26233 - Universidade Federal do Ceará"/>
        <s v="26455 - Universidade Federal do Delta do Parnaíba"/>
        <s v="26234 - Universidade Federal do Espírito Santo"/>
        <s v="26269 - Universidade Federal do Estado do Rio de Janeiro"/>
        <s v="26457 - Universidade Federal do Norte do Tocantins"/>
        <s v="26447 - Universidade Federal do Oeste da Bahia"/>
        <s v="26441 - Universidade Federal do Oeste do Pará"/>
        <s v="26241 - Universidade Federal do Paraná"/>
        <s v="26239 - Universidade Federal do Pará"/>
        <s v="26351 - Universidade Federal do Recôncavo da Bahia"/>
        <s v="26245 - Universidade Federal do Rio de Janeiro"/>
        <s v="26273 - Universidade Federal do Rio Grande"/>
        <s v="26243 - Universidade Federal do Rio Grande do Norte"/>
        <s v="26244 - Universidade Federal do Rio Grande do Sul"/>
        <s v="26450 - Universidade Federal do Sul da Bahia"/>
        <s v="26448 - Universidade Federal do Sul e Sudeste do Pará"/>
        <s v="26254 - Universidade Federal do Triângulo Mineiro"/>
        <s v="26255 - Universidade Federal dos Vales do Jequitinhonha e Mucuri"/>
        <s v="26236 - Universidade Federal Fluminense"/>
        <s v="26253 - Universidade Federal Rural da Amazônia"/>
        <s v="26248 - Universidade Federal Rural de Pernambuco"/>
        <s v="26249 - Universidade Federal Rural do Rio de Janeiro"/>
        <s v="26264 - Universidade Federal Rural do Semi-Árido"/>
        <s v="26258 - Universidade Tecnológica Federal do Paraná"/>
      </sharedItems>
    </cacheField>
    <cacheField name="Valor Empenhado" numFmtId="0">
      <sharedItems/>
    </cacheField>
    <cacheField name="Valor Liquidado" numFmtId="0">
      <sharedItems containsString="0" containsBlank="1" containsNumber="1" minValue="2006232.33" maxValue="8441877290.2799997"/>
    </cacheField>
    <cacheField name="Valor Pago" numFmtId="0">
      <sharedItems containsSemiMixedTypes="0" containsString="0" containsNumber="1" minValue="569523.5" maxValue="8421908664.4399996"/>
    </cacheField>
    <cacheField name="Valor Restos a Pagar Pagos" numFmtId="0">
      <sharedItems containsSemiMixedTypes="0" containsString="0" containsNumber="1" minValue="0" maxValue="9196508331.7999992"/>
    </cacheField>
    <cacheField name="Column1" numFmtId="0">
      <sharedItems/>
    </cacheField>
    <cacheField name="Dias (Mês Ano)" numFmtId="0" databaseField="0">
      <fieldGroup base="0">
        <rangePr groupBy="days" startDate="2024-01-01T00:00:00" endDate="2024-12-02T00:00:00"/>
        <groupItems count="368">
          <s v="&lt;01/01/2024"/>
          <s v="01/jan"/>
          <s v="02/jan"/>
          <s v="03/jan"/>
          <s v="04/jan"/>
          <s v="05/jan"/>
          <s v="06/jan"/>
          <s v="07/jan"/>
          <s v="08/jan"/>
          <s v="09/jan"/>
          <s v="10/jan"/>
          <s v="11/jan"/>
          <s v="12/jan"/>
          <s v="13/jan"/>
          <s v="14/jan"/>
          <s v="15/jan"/>
          <s v="16/jan"/>
          <s v="17/jan"/>
          <s v="18/jan"/>
          <s v="19/jan"/>
          <s v="20/jan"/>
          <s v="21/jan"/>
          <s v="22/jan"/>
          <s v="23/jan"/>
          <s v="24/jan"/>
          <s v="25/jan"/>
          <s v="26/jan"/>
          <s v="27/jan"/>
          <s v="28/jan"/>
          <s v="29/jan"/>
          <s v="30/jan"/>
          <s v="31/jan"/>
          <s v="01/fev"/>
          <s v="02/fev"/>
          <s v="03/fev"/>
          <s v="04/fev"/>
          <s v="05/fev"/>
          <s v="06/fev"/>
          <s v="07/fev"/>
          <s v="08/fev"/>
          <s v="09/fev"/>
          <s v="10/fev"/>
          <s v="11/fev"/>
          <s v="12/fev"/>
          <s v="13/fev"/>
          <s v="14/fev"/>
          <s v="15/fev"/>
          <s v="16/fev"/>
          <s v="17/fev"/>
          <s v="18/fev"/>
          <s v="19/fev"/>
          <s v="20/fev"/>
          <s v="21/fev"/>
          <s v="22/fev"/>
          <s v="23/fev"/>
          <s v="24/fev"/>
          <s v="25/fev"/>
          <s v="26/fev"/>
          <s v="27/fev"/>
          <s v="28/fev"/>
          <s v="29/fev"/>
          <s v="01/mar"/>
          <s v="02/mar"/>
          <s v="03/mar"/>
          <s v="04/mar"/>
          <s v="05/mar"/>
          <s v="06/mar"/>
          <s v="07/mar"/>
          <s v="08/mar"/>
          <s v="09/mar"/>
          <s v="10/mar"/>
          <s v="11/mar"/>
          <s v="12/mar"/>
          <s v="13/mar"/>
          <s v="14/mar"/>
          <s v="15/mar"/>
          <s v="16/mar"/>
          <s v="17/mar"/>
          <s v="18/mar"/>
          <s v="19/mar"/>
          <s v="20/mar"/>
          <s v="21/mar"/>
          <s v="22/mar"/>
          <s v="23/mar"/>
          <s v="24/mar"/>
          <s v="25/mar"/>
          <s v="26/mar"/>
          <s v="27/mar"/>
          <s v="28/mar"/>
          <s v="29/mar"/>
          <s v="30/mar"/>
          <s v="31/mar"/>
          <s v="01/abr"/>
          <s v="02/abr"/>
          <s v="03/abr"/>
          <s v="04/abr"/>
          <s v="05/abr"/>
          <s v="06/abr"/>
          <s v="07/abr"/>
          <s v="08/abr"/>
          <s v="09/abr"/>
          <s v="10/abr"/>
          <s v="11/abr"/>
          <s v="12/abr"/>
          <s v="13/abr"/>
          <s v="14/abr"/>
          <s v="15/abr"/>
          <s v="16/abr"/>
          <s v="17/abr"/>
          <s v="18/abr"/>
          <s v="19/abr"/>
          <s v="20/abr"/>
          <s v="21/abr"/>
          <s v="22/abr"/>
          <s v="23/abr"/>
          <s v="24/abr"/>
          <s v="25/abr"/>
          <s v="26/abr"/>
          <s v="27/abr"/>
          <s v="28/abr"/>
          <s v="29/abr"/>
          <s v="30/abr"/>
          <s v="01/mai"/>
          <s v="02/mai"/>
          <s v="03/mai"/>
          <s v="04/mai"/>
          <s v="05/mai"/>
          <s v="06/mai"/>
          <s v="07/mai"/>
          <s v="08/mai"/>
          <s v="09/mai"/>
          <s v="10/mai"/>
          <s v="11/mai"/>
          <s v="12/mai"/>
          <s v="13/mai"/>
          <s v="14/mai"/>
          <s v="15/mai"/>
          <s v="16/mai"/>
          <s v="17/mai"/>
          <s v="18/mai"/>
          <s v="19/mai"/>
          <s v="20/mai"/>
          <s v="21/mai"/>
          <s v="22/mai"/>
          <s v="23/mai"/>
          <s v="24/mai"/>
          <s v="25/mai"/>
          <s v="26/mai"/>
          <s v="27/mai"/>
          <s v="28/mai"/>
          <s v="29/mai"/>
          <s v="30/mai"/>
          <s v="31/mai"/>
          <s v="01/jun"/>
          <s v="02/jun"/>
          <s v="03/jun"/>
          <s v="04/jun"/>
          <s v="05/jun"/>
          <s v="06/jun"/>
          <s v="07/jun"/>
          <s v="08/jun"/>
          <s v="09/jun"/>
          <s v="10/jun"/>
          <s v="11/jun"/>
          <s v="12/jun"/>
          <s v="13/jun"/>
          <s v="14/jun"/>
          <s v="15/jun"/>
          <s v="16/jun"/>
          <s v="17/jun"/>
          <s v="18/jun"/>
          <s v="19/jun"/>
          <s v="20/jun"/>
          <s v="21/jun"/>
          <s v="22/jun"/>
          <s v="23/jun"/>
          <s v="24/jun"/>
          <s v="25/jun"/>
          <s v="26/jun"/>
          <s v="27/jun"/>
          <s v="28/jun"/>
          <s v="29/jun"/>
          <s v="30/jun"/>
          <s v="01/jul"/>
          <s v="02/jul"/>
          <s v="03/jul"/>
          <s v="04/jul"/>
          <s v="05/jul"/>
          <s v="06/jul"/>
          <s v="07/jul"/>
          <s v="08/jul"/>
          <s v="09/jul"/>
          <s v="10/jul"/>
          <s v="11/jul"/>
          <s v="12/jul"/>
          <s v="13/jul"/>
          <s v="14/jul"/>
          <s v="15/jul"/>
          <s v="16/jul"/>
          <s v="17/jul"/>
          <s v="18/jul"/>
          <s v="19/jul"/>
          <s v="20/jul"/>
          <s v="21/jul"/>
          <s v="22/jul"/>
          <s v="23/jul"/>
          <s v="24/jul"/>
          <s v="25/jul"/>
          <s v="26/jul"/>
          <s v="27/jul"/>
          <s v="28/jul"/>
          <s v="29/jul"/>
          <s v="30/jul"/>
          <s v="31/jul"/>
          <s v="01/ago"/>
          <s v="02/ago"/>
          <s v="03/ago"/>
          <s v="04/ago"/>
          <s v="05/ago"/>
          <s v="06/ago"/>
          <s v="07/ago"/>
          <s v="08/ago"/>
          <s v="09/ago"/>
          <s v="10/ago"/>
          <s v="11/ago"/>
          <s v="12/ago"/>
          <s v="13/ago"/>
          <s v="14/ago"/>
          <s v="15/ago"/>
          <s v="16/ago"/>
          <s v="17/ago"/>
          <s v="18/ago"/>
          <s v="19/ago"/>
          <s v="20/ago"/>
          <s v="21/ago"/>
          <s v="22/ago"/>
          <s v="23/ago"/>
          <s v="24/ago"/>
          <s v="25/ago"/>
          <s v="26/ago"/>
          <s v="27/ago"/>
          <s v="28/ago"/>
          <s v="29/ago"/>
          <s v="30/ago"/>
          <s v="31/ago"/>
          <s v="01/set"/>
          <s v="02/set"/>
          <s v="03/set"/>
          <s v="04/set"/>
          <s v="05/set"/>
          <s v="06/set"/>
          <s v="07/set"/>
          <s v="08/set"/>
          <s v="09/set"/>
          <s v="10/set"/>
          <s v="11/set"/>
          <s v="12/set"/>
          <s v="13/set"/>
          <s v="14/set"/>
          <s v="15/set"/>
          <s v="16/set"/>
          <s v="17/set"/>
          <s v="18/set"/>
          <s v="19/set"/>
          <s v="20/set"/>
          <s v="21/set"/>
          <s v="22/set"/>
          <s v="23/set"/>
          <s v="24/set"/>
          <s v="25/set"/>
          <s v="26/set"/>
          <s v="27/set"/>
          <s v="28/set"/>
          <s v="29/set"/>
          <s v="30/set"/>
          <s v="01/out"/>
          <s v="02/out"/>
          <s v="03/out"/>
          <s v="04/out"/>
          <s v="05/out"/>
          <s v="06/out"/>
          <s v="07/out"/>
          <s v="08/out"/>
          <s v="09/out"/>
          <s v="10/out"/>
          <s v="11/out"/>
          <s v="12/out"/>
          <s v="13/out"/>
          <s v="14/out"/>
          <s v="15/out"/>
          <s v="16/out"/>
          <s v="17/out"/>
          <s v="18/out"/>
          <s v="19/out"/>
          <s v="20/out"/>
          <s v="21/out"/>
          <s v="22/out"/>
          <s v="23/out"/>
          <s v="24/out"/>
          <s v="25/out"/>
          <s v="26/out"/>
          <s v="27/out"/>
          <s v="28/out"/>
          <s v="29/out"/>
          <s v="30/out"/>
          <s v="31/out"/>
          <s v="01/nov"/>
          <s v="02/nov"/>
          <s v="03/nov"/>
          <s v="04/nov"/>
          <s v="05/nov"/>
          <s v="06/nov"/>
          <s v="07/nov"/>
          <s v="08/nov"/>
          <s v="09/nov"/>
          <s v="10/nov"/>
          <s v="11/nov"/>
          <s v="12/nov"/>
          <s v="13/nov"/>
          <s v="14/nov"/>
          <s v="15/nov"/>
          <s v="16/nov"/>
          <s v="17/nov"/>
          <s v="18/nov"/>
          <s v="19/nov"/>
          <s v="20/nov"/>
          <s v="21/nov"/>
          <s v="22/nov"/>
          <s v="23/nov"/>
          <s v="24/nov"/>
          <s v="25/nov"/>
          <s v="26/nov"/>
          <s v="27/nov"/>
          <s v="28/nov"/>
          <s v="29/nov"/>
          <s v="30/nov"/>
          <s v="01/dez"/>
          <s v="02/dez"/>
          <s v="03/dez"/>
          <s v="04/dez"/>
          <s v="05/dez"/>
          <s v="06/dez"/>
          <s v="07/dez"/>
          <s v="08/dez"/>
          <s v="09/dez"/>
          <s v="10/dez"/>
          <s v="11/dez"/>
          <s v="12/dez"/>
          <s v="13/dez"/>
          <s v="14/dez"/>
          <s v="15/dez"/>
          <s v="16/dez"/>
          <s v="17/dez"/>
          <s v="18/dez"/>
          <s v="19/dez"/>
          <s v="20/dez"/>
          <s v="21/dez"/>
          <s v="22/dez"/>
          <s v="23/dez"/>
          <s v="24/dez"/>
          <s v="25/dez"/>
          <s v="26/dez"/>
          <s v="27/dez"/>
          <s v="28/dez"/>
          <s v="29/dez"/>
          <s v="30/dez"/>
          <s v="31/dez"/>
          <s v="&gt;02/12/2024"/>
        </groupItems>
      </fieldGroup>
    </cacheField>
    <cacheField name="Meses (Mês Ano)" numFmtId="0" databaseField="0">
      <fieldGroup base="0">
        <rangePr groupBy="months" startDate="2024-01-01T00:00:00" endDate="2024-12-02T00:00:00"/>
        <groupItems count="14">
          <s v="&lt;01/01/2024"/>
          <s v="jan"/>
          <s v="fev"/>
          <s v="mar"/>
          <s v="abr"/>
          <s v="mai"/>
          <s v="jun"/>
          <s v="jul"/>
          <s v="ago"/>
          <s v="set"/>
          <s v="out"/>
          <s v="nov"/>
          <s v="dez"/>
          <s v="&gt;02/12/20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04">
  <r>
    <x v="0"/>
    <s v="26000 - Ministério da Educação"/>
    <x v="0"/>
    <s v="14.938.864,03"/>
    <n v="36472261.25"/>
    <n v="34825406.859999999"/>
    <n v="2534061.84"/>
    <s v=""/>
  </r>
  <r>
    <x v="1"/>
    <s v="26000 - Ministério da Educação"/>
    <x v="0"/>
    <s v="2.624.567,67"/>
    <n v="36726479.579999998"/>
    <n v="36518185.609999999"/>
    <n v="1957350.05"/>
    <s v=""/>
  </r>
  <r>
    <x v="2"/>
    <s v="26000 - Ministério da Educação"/>
    <x v="0"/>
    <s v="2.989.013,50"/>
    <n v="39222837.229999997"/>
    <n v="39232860.479999997"/>
    <n v="827102.42"/>
    <s v=""/>
  </r>
  <r>
    <x v="3"/>
    <s v="26000 - Ministério da Educação"/>
    <x v="0"/>
    <s v="700.604,63"/>
    <n v="37688567.799999997"/>
    <n v="48842429.920000002"/>
    <n v="3766331.39"/>
    <s v=""/>
  </r>
  <r>
    <x v="4"/>
    <s v="26000 - Ministério da Educação"/>
    <x v="0"/>
    <s v="2.064.153,52"/>
    <n v="58217871.840000004"/>
    <n v="44146944.539999999"/>
    <n v="448567.9"/>
    <s v=""/>
  </r>
  <r>
    <x v="5"/>
    <s v="26000 - Ministério da Educação"/>
    <x v="0"/>
    <s v="20.334.411,69"/>
    <n v="49029501.560000002"/>
    <n v="48389868.359999999"/>
    <n v="1111326.95"/>
    <s v=""/>
  </r>
  <r>
    <x v="6"/>
    <s v="26000 - Ministério da Educação"/>
    <x v="0"/>
    <s v="1.716.829,04"/>
    <n v="35669331.020000003"/>
    <n v="35408557.619999997"/>
    <n v="3072545.57"/>
    <s v=""/>
  </r>
  <r>
    <x v="7"/>
    <s v="26000 - Ministério da Educação"/>
    <x v="0"/>
    <s v="2.088.960,29"/>
    <n v="38863749.020000003"/>
    <n v="36918756.350000001"/>
    <n v="287033.40999999997"/>
    <s v=""/>
  </r>
  <r>
    <x v="8"/>
    <s v="26000 - Ministério da Educação"/>
    <x v="0"/>
    <s v="432.346.026,38"/>
    <n v="33048210.059999999"/>
    <n v="6001732.9500000002"/>
    <n v="43700944"/>
    <s v=""/>
  </r>
  <r>
    <x v="9"/>
    <s v="26000 - Ministério da Educação"/>
    <x v="0"/>
    <s v="5.318.529,15"/>
    <n v="34266775.689999998"/>
    <n v="30023867.969999999"/>
    <n v="6624726.21"/>
    <s v=""/>
  </r>
  <r>
    <x v="10"/>
    <s v="26000 - Ministério da Educação"/>
    <x v="0"/>
    <s v="17.785.557,96"/>
    <n v="47401285.520000003"/>
    <n v="42970812.93"/>
    <n v="4239064.99"/>
    <s v=""/>
  </r>
  <r>
    <x v="11"/>
    <s v="26000 - Ministério da Educação"/>
    <x v="0"/>
    <s v="7.335.695,93"/>
    <n v="43774919.380000003"/>
    <n v="37360564.189999998"/>
    <n v="1561690.15"/>
    <s v=""/>
  </r>
  <r>
    <x v="7"/>
    <s v="26000 - Ministério da Educação"/>
    <x v="1"/>
    <s v="2.142.537,02"/>
    <n v="44492511"/>
    <n v="43876552.109999999"/>
    <n v="27056.11"/>
    <s v=""/>
  </r>
  <r>
    <x v="6"/>
    <s v="26000 - Ministério da Educação"/>
    <x v="1"/>
    <s v="2.214.820,36"/>
    <n v="41943847.210000001"/>
    <n v="41308484.539999999"/>
    <n v="1770647.3"/>
    <s v=""/>
  </r>
  <r>
    <x v="0"/>
    <s v="26000 - Ministério da Educação"/>
    <x v="1"/>
    <s v="7.038.136,02"/>
    <n v="45216966.170000002"/>
    <n v="44087941.159999996"/>
    <n v="1245608.06"/>
    <s v=""/>
  </r>
  <r>
    <x v="4"/>
    <s v="26000 - Ministério da Educação"/>
    <x v="1"/>
    <s v="6.861.855,02"/>
    <n v="67636169.969999999"/>
    <n v="52668441.770000003"/>
    <n v="169751.66"/>
    <s v=""/>
  </r>
  <r>
    <x v="11"/>
    <s v="26000 - Ministério da Educação"/>
    <x v="1"/>
    <s v="7.302.235,51"/>
    <n v="44936710.960000001"/>
    <n v="43874703.140000001"/>
    <n v="896349.35"/>
    <s v=""/>
  </r>
  <r>
    <x v="10"/>
    <s v="26000 - Ministério da Educação"/>
    <x v="1"/>
    <s v="8.578.709,35"/>
    <n v="53692285.439999998"/>
    <n v="44787152.5"/>
    <n v="232307.05"/>
    <s v=""/>
  </r>
  <r>
    <x v="2"/>
    <s v="26000 - Ministério da Educação"/>
    <x v="1"/>
    <s v="10.138.516,49"/>
    <n v="44288092.539999999"/>
    <n v="45051508.880000003"/>
    <n v="258863.47"/>
    <s v=""/>
  </r>
  <r>
    <x v="3"/>
    <s v="26000 - Ministério da Educação"/>
    <x v="1"/>
    <s v="14.145.750,24"/>
    <n v="42842488.240000002"/>
    <n v="52505760.259999998"/>
    <n v="492552.61"/>
    <s v=""/>
  </r>
  <r>
    <x v="8"/>
    <s v="26000 - Ministério da Educação"/>
    <x v="1"/>
    <s v="511.585.338,29"/>
    <n v="41598624.350000001"/>
    <n v="8562356.2799999993"/>
    <n v="48754062.909999996"/>
    <s v=""/>
  </r>
  <r>
    <x v="9"/>
    <s v="26000 - Ministério da Educação"/>
    <x v="1"/>
    <s v="737.050,48"/>
    <n v="39442652.090000004"/>
    <n v="36299226.060000002"/>
    <n v="1531788.83"/>
    <s v=""/>
  </r>
  <r>
    <x v="5"/>
    <s v="26000 - Ministério da Educação"/>
    <x v="1"/>
    <s v="14.975.243,36"/>
    <n v="59674631.829999998"/>
    <n v="56896730.93"/>
    <n v="198737.88"/>
    <s v=""/>
  </r>
  <r>
    <x v="1"/>
    <s v="26000 - Ministério da Educação"/>
    <x v="1"/>
    <s v="- 1.762.133,94"/>
    <n v="43033360.450000003"/>
    <n v="43034669.380000003"/>
    <n v="239964.28"/>
    <s v=""/>
  </r>
  <r>
    <x v="1"/>
    <s v="26000 - Ministério da Educação"/>
    <x v="2"/>
    <s v="- 10.309.922,48"/>
    <n v="63167851.509999998"/>
    <n v="62319691.25"/>
    <n v="717719.03"/>
    <s v=""/>
  </r>
  <r>
    <x v="0"/>
    <s v="26000 - Ministério da Educação"/>
    <x v="2"/>
    <s v="13.846.453,21"/>
    <n v="59841486.130000003"/>
    <n v="60195872.460000001"/>
    <n v="2185933.7799999998"/>
    <s v=""/>
  </r>
  <r>
    <x v="2"/>
    <s v="26000 - Ministério da Educação"/>
    <x v="2"/>
    <s v="24.418.080,20"/>
    <n v="65248601.789999999"/>
    <n v="65322857.170000002"/>
    <n v="702976.25"/>
    <s v=""/>
  </r>
  <r>
    <x v="8"/>
    <s v="26000 - Ministério da Educação"/>
    <x v="2"/>
    <s v="484.121.958,51"/>
    <n v="60503418.460000001"/>
    <n v="7347061.3399999999"/>
    <n v="67731999.030000001"/>
    <s v=""/>
  </r>
  <r>
    <x v="4"/>
    <s v="26000 - Ministério da Educação"/>
    <x v="2"/>
    <s v="17.348.337,79"/>
    <n v="94873449.719999999"/>
    <n v="72577452.280000001"/>
    <n v="653884.30000000005"/>
    <s v=""/>
  </r>
  <r>
    <x v="11"/>
    <s v="26000 - Ministério da Educação"/>
    <x v="2"/>
    <s v="75.745.879,33"/>
    <n v="70007531.590000004"/>
    <n v="60760676.649999999"/>
    <n v="3176889.08"/>
    <s v=""/>
  </r>
  <r>
    <x v="5"/>
    <s v="26000 - Ministério da Educação"/>
    <x v="2"/>
    <s v="20.841.981,80"/>
    <n v="82578516.739999995"/>
    <n v="89147391.870000005"/>
    <n v="1473637.03"/>
    <s v=""/>
  </r>
  <r>
    <x v="6"/>
    <s v="26000 - Ministério da Educação"/>
    <x v="2"/>
    <s v="5.100.622,57"/>
    <n v="59757704.149999999"/>
    <n v="58206595.07"/>
    <n v="4666163.91"/>
    <s v=""/>
  </r>
  <r>
    <x v="9"/>
    <s v="26000 - Ministério da Educação"/>
    <x v="2"/>
    <s v="3.411.680,96"/>
    <n v="61101468.270000003"/>
    <n v="65728348.770000003"/>
    <n v="5088492.59"/>
    <s v=""/>
  </r>
  <r>
    <x v="3"/>
    <s v="26000 - Ministério da Educação"/>
    <x v="2"/>
    <s v="113.999.308,48"/>
    <n v="61843541.390000001"/>
    <n v="83654416.010000005"/>
    <n v="1601952.93"/>
    <s v=""/>
  </r>
  <r>
    <x v="7"/>
    <s v="26000 - Ministério da Educação"/>
    <x v="2"/>
    <s v="49.574.081,38"/>
    <n v="63506496.329999998"/>
    <n v="62897720.789999999"/>
    <n v="1749700.16"/>
    <s v=""/>
  </r>
  <r>
    <x v="10"/>
    <s v="26000 - Ministério da Educação"/>
    <x v="2"/>
    <s v="63.494.819,77"/>
    <n v="83119552.469999999"/>
    <n v="68880350.640000001"/>
    <n v="3675752.13"/>
    <s v=""/>
  </r>
  <r>
    <x v="8"/>
    <s v="26000 - Ministério da Educação"/>
    <x v="3"/>
    <s v="7.662.136.994,33"/>
    <n v="499316745.94999999"/>
    <n v="33612880.329999998"/>
    <n v="856971369.73000002"/>
    <s v=""/>
  </r>
  <r>
    <x v="6"/>
    <s v="26000 - Ministério da Educação"/>
    <x v="3"/>
    <s v="291.327.115,99"/>
    <n v="730686776.79999995"/>
    <n v="744271500.76999998"/>
    <n v="107715002.59999999"/>
    <s v=""/>
  </r>
  <r>
    <x v="0"/>
    <s v="26000 - Ministério da Educação"/>
    <x v="3"/>
    <s v="369.866.643,87"/>
    <n v="831495085.36000001"/>
    <n v="796729013.63"/>
    <n v="63362186.020000003"/>
    <s v=""/>
  </r>
  <r>
    <x v="5"/>
    <s v="26000 - Ministério da Educação"/>
    <x v="3"/>
    <s v="1.048.619.169,70"/>
    <n v="1218951765.5"/>
    <n v="1352702333.0699999"/>
    <n v="31942348.309999999"/>
    <s v=""/>
  </r>
  <r>
    <x v="9"/>
    <s v="26000 - Ministério da Educação"/>
    <x v="3"/>
    <s v="180.727.363,82"/>
    <n v="704582965.15999997"/>
    <n v="604387073.98000002"/>
    <n v="237798470.24000001"/>
    <s v=""/>
  </r>
  <r>
    <x v="11"/>
    <s v="26000 - Ministério da Educação"/>
    <x v="3"/>
    <s v="316.128.352,47"/>
    <n v="873718205.60000002"/>
    <n v="841645257.54999995"/>
    <n v="44698739.119999997"/>
    <s v=""/>
  </r>
  <r>
    <x v="10"/>
    <s v="26000 - Ministério da Educação"/>
    <x v="3"/>
    <s v="455.156.420,55"/>
    <n v="908629252.08000004"/>
    <n v="867329455.08000004"/>
    <n v="28126342.780000001"/>
    <s v=""/>
  </r>
  <r>
    <x v="2"/>
    <s v="26000 - Ministério da Educação"/>
    <x v="3"/>
    <s v="370.698.387,70"/>
    <n v="813310095.19000006"/>
    <n v="963506548.98000002"/>
    <n v="12750703.74"/>
    <s v=""/>
  </r>
  <r>
    <x v="3"/>
    <s v="26000 - Ministério da Educação"/>
    <x v="3"/>
    <s v="588.633.787,19"/>
    <n v="795647937.52999997"/>
    <n v="1117346980.74"/>
    <n v="24774935.190000001"/>
    <s v=""/>
  </r>
  <r>
    <x v="7"/>
    <s v="26000 - Ministério da Educação"/>
    <x v="3"/>
    <s v="360.330.289,42"/>
    <n v="926782052.72000003"/>
    <n v="939604937.97000003"/>
    <n v="15451751.75"/>
    <s v=""/>
  </r>
  <r>
    <x v="1"/>
    <s v="26000 - Ministério da Educação"/>
    <x v="3"/>
    <s v="172.889.099,77"/>
    <n v="921090531.01999998"/>
    <n v="933553927.13"/>
    <n v="14975572.82"/>
    <s v=""/>
  </r>
  <r>
    <x v="4"/>
    <s v="26000 - Ministério da Educação"/>
    <x v="3"/>
    <s v="886.291.313,87"/>
    <n v="1057421142.37"/>
    <n v="952770289.55999994"/>
    <n v="30919465.280000001"/>
    <s v=""/>
  </r>
  <r>
    <x v="11"/>
    <s v="26000 - Ministério da Educação"/>
    <x v="4"/>
    <s v="211.247.168,94"/>
    <n v="608305445.57000005"/>
    <n v="387090819.06"/>
    <n v="7995000.5199999996"/>
    <s v=""/>
  </r>
  <r>
    <x v="3"/>
    <s v="26000 - Ministério da Educação"/>
    <x v="4"/>
    <s v="709.460.152,27"/>
    <n v="521195067.26999998"/>
    <n v="423526027.63"/>
    <n v="13223434.6"/>
    <s v=""/>
  </r>
  <r>
    <x v="1"/>
    <s v="26000 - Ministério da Educação"/>
    <x v="4"/>
    <s v="- 996.549.911,26"/>
    <n v="376076284.87"/>
    <n v="376772355.51999998"/>
    <n v="9278147.7799999993"/>
    <s v=""/>
  </r>
  <r>
    <x v="0"/>
    <s v="26000 - Ministério da Educação"/>
    <x v="4"/>
    <s v="1.095.991.734,91"/>
    <n v="334562621.60000002"/>
    <n v="407616332.89999998"/>
    <n v="30543830.07"/>
    <s v=""/>
  </r>
  <r>
    <x v="8"/>
    <s v="26000 - Ministério da Educação"/>
    <x v="4"/>
    <s v="237.535.974,84"/>
    <n v="114661944.54000001"/>
    <n v="1988212.71"/>
    <n v="29121025.670000002"/>
    <s v=""/>
  </r>
  <r>
    <x v="10"/>
    <s v="26000 - Ministério da Educação"/>
    <x v="4"/>
    <s v="1.650.044.974,49"/>
    <n v="305212408.48000002"/>
    <n v="389519324.26999998"/>
    <n v="12428016.16"/>
    <s v=""/>
  </r>
  <r>
    <x v="2"/>
    <s v="26000 - Ministério da Educação"/>
    <x v="4"/>
    <s v="169.384.290,25"/>
    <n v="511623349.63"/>
    <n v="392685475.38"/>
    <n v="5416019.4299999997"/>
    <s v=""/>
  </r>
  <r>
    <x v="6"/>
    <s v="26000 - Ministério da Educação"/>
    <x v="4"/>
    <s v="384.215.018,56"/>
    <n v="221169915.41999999"/>
    <n v="354171982.75"/>
    <n v="39222017.310000002"/>
    <s v=""/>
  </r>
  <r>
    <x v="9"/>
    <s v="26000 - Ministério da Educação"/>
    <x v="4"/>
    <s v="376.775.137,16"/>
    <n v="279934843.88"/>
    <n v="155222897.44999999"/>
    <n v="322287125.85000002"/>
    <s v=""/>
  </r>
  <r>
    <x v="5"/>
    <s v="26000 - Ministério da Educação"/>
    <x v="4"/>
    <s v="239.760.633,95"/>
    <n v="509971555.81999999"/>
    <n v="628006975.59000003"/>
    <n v="5321517.79"/>
    <s v=""/>
  </r>
  <r>
    <x v="4"/>
    <s v="26000 - Ministério da Educação"/>
    <x v="4"/>
    <s v="690.187.403,75"/>
    <n v="216842404.77000001"/>
    <n v="359388235.74000001"/>
    <n v="15782393.67"/>
    <s v=""/>
  </r>
  <r>
    <x v="7"/>
    <s v="26000 - Ministério da Educação"/>
    <x v="4"/>
    <s v="166.083.066,33"/>
    <n v="204760259.88999999"/>
    <n v="318636571.56999999"/>
    <n v="10016719.41"/>
    <s v=""/>
  </r>
  <r>
    <x v="8"/>
    <s v="26000 - Ministério da Educação"/>
    <x v="5"/>
    <s v="116.209.323,27"/>
    <n v="8774734.3800000008"/>
    <n v="1457852.42"/>
    <n v="11623249"/>
    <s v=""/>
  </r>
  <r>
    <x v="3"/>
    <s v="26000 - Ministério da Educação"/>
    <x v="5"/>
    <s v="2.738.889,07"/>
    <n v="10979326.41"/>
    <n v="13864590.550000001"/>
    <n v="413536.22"/>
    <s v=""/>
  </r>
  <r>
    <x v="0"/>
    <s v="26000 - Ministério da Educação"/>
    <x v="5"/>
    <s v="20.005.853,97"/>
    <n v="11738620.17"/>
    <n v="11870146.109999999"/>
    <n v="212516.54"/>
    <s v=""/>
  </r>
  <r>
    <x v="9"/>
    <s v="26000 - Ministério da Educação"/>
    <x v="5"/>
    <s v="- 1.048.766,33"/>
    <n v="10207507.300000001"/>
    <n v="8908200.3499999996"/>
    <n v="1562967.23"/>
    <s v=""/>
  </r>
  <r>
    <x v="11"/>
    <s v="26000 - Ministério da Educação"/>
    <x v="5"/>
    <s v="263.391,30"/>
    <n v="11379351.109999999"/>
    <n v="10498217.460000001"/>
    <n v="273176.28000000003"/>
    <s v=""/>
  </r>
  <r>
    <x v="2"/>
    <s v="26000 - Ministério da Educação"/>
    <x v="5"/>
    <s v="1.608.281,48"/>
    <n v="10694606.279999999"/>
    <n v="10465534.880000001"/>
    <n v="146839.57"/>
    <s v=""/>
  </r>
  <r>
    <x v="10"/>
    <s v="26000 - Ministério da Educação"/>
    <x v="5"/>
    <s v="370.574,98"/>
    <n v="13415337.82"/>
    <n v="11206097.82"/>
    <n v="287482.81"/>
    <s v=""/>
  </r>
  <r>
    <x v="1"/>
    <s v="26000 - Ministério da Educação"/>
    <x v="5"/>
    <s v="- 1.660.793,50"/>
    <n v="10676085.039999999"/>
    <n v="11040267.279999999"/>
    <n v="143994.79999999999"/>
    <s v=""/>
  </r>
  <r>
    <x v="7"/>
    <s v="26000 - Ministério da Educação"/>
    <x v="5"/>
    <s v="5.066.181,31"/>
    <n v="13888989.91"/>
    <n v="13821748.84"/>
    <n v="35444.21"/>
    <s v=""/>
  </r>
  <r>
    <x v="5"/>
    <s v="26000 - Ministério da Educação"/>
    <x v="5"/>
    <s v="- 350.035,40"/>
    <n v="14011031.08"/>
    <n v="15158660.74"/>
    <n v="72093.740000000005"/>
    <s v=""/>
  </r>
  <r>
    <x v="6"/>
    <s v="26000 - Ministério da Educação"/>
    <x v="5"/>
    <s v="566.220,87"/>
    <n v="9633149.7799999993"/>
    <n v="9305842.4100000001"/>
    <n v="157868.4"/>
    <s v=""/>
  </r>
  <r>
    <x v="4"/>
    <s v="26000 - Ministério da Educação"/>
    <x v="5"/>
    <s v="2.246.227,71"/>
    <n v="15640378.050000001"/>
    <n v="12258229.369999999"/>
    <n v="142209.97"/>
    <s v=""/>
  </r>
  <r>
    <x v="7"/>
    <s v="26000 - Ministério da Educação"/>
    <x v="6"/>
    <s v="10.691.244,21"/>
    <n v="182427522.81"/>
    <n v="181806307.47999999"/>
    <n v="6448845.6100000003"/>
    <s v=""/>
  </r>
  <r>
    <x v="3"/>
    <s v="26000 - Ministério da Educação"/>
    <x v="6"/>
    <s v="28.955.999,59"/>
    <n v="175995980.75999999"/>
    <n v="225504124.93000001"/>
    <n v="11004113.92"/>
    <s v=""/>
  </r>
  <r>
    <x v="4"/>
    <s v="26000 - Ministério da Educação"/>
    <x v="6"/>
    <s v="48.804.383,50"/>
    <n v="265778738.59"/>
    <n v="208874870.44"/>
    <n v="3125956.16"/>
    <s v=""/>
  </r>
  <r>
    <x v="0"/>
    <s v="26000 - Ministério da Educação"/>
    <x v="6"/>
    <s v="47.797.907,35"/>
    <n v="165086521.88"/>
    <n v="160237508.91"/>
    <n v="20033208.57"/>
    <s v=""/>
  </r>
  <r>
    <x v="5"/>
    <s v="26000 - Ministério da Educação"/>
    <x v="6"/>
    <s v="168.490.639,18"/>
    <n v="224753206.22"/>
    <n v="251465224.78999999"/>
    <n v="15806082.49"/>
    <s v=""/>
  </r>
  <r>
    <x v="11"/>
    <s v="26000 - Ministério da Educação"/>
    <x v="6"/>
    <s v="59.606.788,69"/>
    <n v="176469846.38999999"/>
    <n v="166796966.78999999"/>
    <n v="19399390.190000001"/>
    <s v=""/>
  </r>
  <r>
    <x v="1"/>
    <s v="26000 - Ministério da Educação"/>
    <x v="6"/>
    <s v="10.564.798,46"/>
    <n v="186114308.24000001"/>
    <n v="177007912.12"/>
    <n v="11925804.99"/>
    <s v=""/>
  </r>
  <r>
    <x v="10"/>
    <s v="26000 - Ministério da Educação"/>
    <x v="6"/>
    <s v="97.239.236,43"/>
    <n v="222217023.78"/>
    <n v="175611670.02000001"/>
    <n v="12205810.359999999"/>
    <s v=""/>
  </r>
  <r>
    <x v="6"/>
    <s v="26000 - Ministério da Educação"/>
    <x v="6"/>
    <s v="36.388.922,13"/>
    <n v="155983255.34"/>
    <n v="152857025.28"/>
    <n v="40532204.609999999"/>
    <s v=""/>
  </r>
  <r>
    <x v="2"/>
    <s v="26000 - Ministério da Educação"/>
    <x v="6"/>
    <s v="14.865.075,26"/>
    <n v="191022951.66"/>
    <n v="196095312.30000001"/>
    <n v="5227648.76"/>
    <s v=""/>
  </r>
  <r>
    <x v="8"/>
    <s v="26000 - Ministério da Educação"/>
    <x v="6"/>
    <s v="1.920.474.392,35"/>
    <n v="152313009.12"/>
    <n v="31382078.550000001"/>
    <n v="172781284.50999999"/>
    <s v=""/>
  </r>
  <r>
    <x v="9"/>
    <s v="26000 - Ministério da Educação"/>
    <x v="6"/>
    <s v="10.553.253,02"/>
    <n v="150479479.96000001"/>
    <n v="135042024.88999999"/>
    <n v="48713430.670000002"/>
    <s v=""/>
  </r>
  <r>
    <x v="8"/>
    <s v="26000 - Ministério da Educação"/>
    <x v="7"/>
    <s v="845.242.748,53"/>
    <n v="66401620.990000002"/>
    <n v="12339083.859999999"/>
    <n v="76149077.780000001"/>
    <s v=""/>
  </r>
  <r>
    <x v="11"/>
    <s v="26000 - Ministério da Educação"/>
    <x v="7"/>
    <s v="38.098.386,10"/>
    <n v="92472024.340000004"/>
    <n v="77395737.219999999"/>
    <n v="3541532.58"/>
    <s v=""/>
  </r>
  <r>
    <x v="6"/>
    <s v="26000 - Ministério da Educação"/>
    <x v="7"/>
    <s v="6.761.882,06"/>
    <n v="75161657.099999994"/>
    <n v="73224035.530000001"/>
    <n v="9538666.3699999992"/>
    <s v=""/>
  </r>
  <r>
    <x v="5"/>
    <s v="26000 - Ministério da Educação"/>
    <x v="7"/>
    <s v="22.967.672,51"/>
    <n v="97599555.159999996"/>
    <n v="109972221.76000001"/>
    <n v="1197211.55"/>
    <s v=""/>
  </r>
  <r>
    <x v="1"/>
    <s v="26000 - Ministério da Educação"/>
    <x v="7"/>
    <s v="12.583.669,16"/>
    <n v="81159281.900000006"/>
    <n v="75807339.359999999"/>
    <n v="1233702.97"/>
    <s v=""/>
  </r>
  <r>
    <x v="7"/>
    <s v="26000 - Ministério da Educação"/>
    <x v="7"/>
    <s v="10.027.170,67"/>
    <n v="78028275.5"/>
    <n v="84586510.969999999"/>
    <n v="993013.18"/>
    <s v=""/>
  </r>
  <r>
    <x v="2"/>
    <s v="26000 - Ministério da Educação"/>
    <x v="7"/>
    <s v="11.771.985,02"/>
    <n v="81010274.489999995"/>
    <n v="80609474.629999995"/>
    <n v="664365.88"/>
    <s v=""/>
  </r>
  <r>
    <x v="0"/>
    <s v="26000 - Ministério da Educação"/>
    <x v="7"/>
    <s v="41.699.499,54"/>
    <n v="76169584.120000005"/>
    <n v="79164542.239999995"/>
    <n v="8656662.9000000004"/>
    <s v=""/>
  </r>
  <r>
    <x v="3"/>
    <s v="26000 - Ministério da Educação"/>
    <x v="7"/>
    <s v="20.554.632,60"/>
    <n v="78290490.760000005"/>
    <n v="102083593.47"/>
    <n v="3863696.96"/>
    <s v=""/>
  </r>
  <r>
    <x v="4"/>
    <s v="26000 - Ministério da Educação"/>
    <x v="7"/>
    <s v="26.059.109,08"/>
    <n v="120028169.81"/>
    <n v="89736066.319999993"/>
    <n v="1308150.22"/>
    <s v=""/>
  </r>
  <r>
    <x v="10"/>
    <s v="26000 - Ministério da Educação"/>
    <x v="7"/>
    <s v="11.682.634,01"/>
    <n v="101474790.13"/>
    <n v="89411938.870000005"/>
    <n v="1697098.04"/>
    <s v=""/>
  </r>
  <r>
    <x v="9"/>
    <s v="26000 - Ministério da Educação"/>
    <x v="7"/>
    <s v="9.236.160,29"/>
    <n v="72099151.980000004"/>
    <n v="63693761.960000001"/>
    <n v="15366415.550000001"/>
    <s v=""/>
  </r>
  <r>
    <x v="11"/>
    <s v="26000 - Ministério da Educação"/>
    <x v="8"/>
    <s v="36.541.719,27"/>
    <n v="92855294.019999996"/>
    <n v="93279620.730000004"/>
    <n v="2102010.12"/>
    <s v=""/>
  </r>
  <r>
    <x v="10"/>
    <s v="26000 - Ministério da Educação"/>
    <x v="8"/>
    <s v="26.716.761,29"/>
    <n v="112896526.64"/>
    <n v="91493981.989999995"/>
    <n v="1876768.66"/>
    <s v=""/>
  </r>
  <r>
    <x v="0"/>
    <s v="26000 - Ministério da Educação"/>
    <x v="8"/>
    <s v="40.000.196,49"/>
    <n v="92017543.359999999"/>
    <n v="83530479.239999995"/>
    <n v="11289076.34"/>
    <s v=""/>
  </r>
  <r>
    <x v="3"/>
    <s v="26000 - Ministério da Educação"/>
    <x v="8"/>
    <s v="41.326.900,63"/>
    <n v="89544122.370000005"/>
    <n v="113310126.84999999"/>
    <n v="1529786.36"/>
    <s v=""/>
  </r>
  <r>
    <x v="6"/>
    <s v="26000 - Ministério da Educação"/>
    <x v="8"/>
    <s v="6.653.835,78"/>
    <n v="82716104.609999999"/>
    <n v="85334419.379999995"/>
    <n v="5379887.8099999996"/>
    <s v=""/>
  </r>
  <r>
    <x v="7"/>
    <s v="26000 - Ministério da Educação"/>
    <x v="8"/>
    <s v="11.026.763,80"/>
    <n v="87978724.450000003"/>
    <n v="92512060.719999999"/>
    <n v="308301.73"/>
    <s v=""/>
  </r>
  <r>
    <x v="2"/>
    <s v="26000 - Ministério da Educação"/>
    <x v="8"/>
    <s v="55.980.468,75"/>
    <n v="87805855.349999994"/>
    <n v="87417961.950000003"/>
    <n v="784981.98"/>
    <s v=""/>
  </r>
  <r>
    <x v="1"/>
    <s v="26000 - Ministério da Educação"/>
    <x v="8"/>
    <s v="8.894.118,80"/>
    <n v="100334230.95999999"/>
    <n v="93189121.25"/>
    <n v="709452.36"/>
    <s v=""/>
  </r>
  <r>
    <x v="9"/>
    <s v="26000 - Ministério da Educação"/>
    <x v="8"/>
    <s v="22.066.555,39"/>
    <n v="86435783.049999997"/>
    <n v="81996113.680000007"/>
    <n v="5305793.95"/>
    <s v=""/>
  </r>
  <r>
    <x v="5"/>
    <s v="26000 - Ministério da Educação"/>
    <x v="8"/>
    <s v="58.797.918,16"/>
    <n v="105008005.06999999"/>
    <n v="124427698.17"/>
    <n v="253079.25"/>
    <s v=""/>
  </r>
  <r>
    <x v="4"/>
    <s v="26000 - Ministério da Educação"/>
    <x v="8"/>
    <s v="101.990.275,56"/>
    <n v="126914662.43000001"/>
    <n v="102538044.23999999"/>
    <n v="177537.39"/>
    <s v=""/>
  </r>
  <r>
    <x v="8"/>
    <s v="26000 - Ministério da Educação"/>
    <x v="8"/>
    <s v="787.768.840,38"/>
    <n v="80193644.310000002"/>
    <n v="17033444.379999999"/>
    <n v="77764078.120000005"/>
    <s v=""/>
  </r>
  <r>
    <x v="10"/>
    <s v="26000 - Ministério da Educação"/>
    <x v="9"/>
    <s v="470.436,21"/>
    <n v="34495666.710000001"/>
    <n v="26428754.32"/>
    <n v="1667091.1"/>
    <s v=""/>
  </r>
  <r>
    <x v="11"/>
    <s v="26000 - Ministério da Educação"/>
    <x v="9"/>
    <s v="4.784.463,71"/>
    <n v="25978199.280000001"/>
    <n v="23885479.329999998"/>
    <n v="2365898.2799999998"/>
    <s v=""/>
  </r>
  <r>
    <x v="1"/>
    <s v="26000 - Ministério da Educação"/>
    <x v="9"/>
    <s v="10.077.207,25"/>
    <n v="27814891.73"/>
    <n v="27054196.129999999"/>
    <n v="1149466.29"/>
    <s v=""/>
  </r>
  <r>
    <x v="4"/>
    <s v="26000 - Ministério da Educação"/>
    <x v="9"/>
    <s v="3.749.938,68"/>
    <n v="41800098.640000001"/>
    <n v="33189821.91"/>
    <n v="5507103.4299999997"/>
    <s v=""/>
  </r>
  <r>
    <x v="6"/>
    <s v="26000 - Ministério da Educação"/>
    <x v="9"/>
    <s v="1.624.450,91"/>
    <n v="23563876.59"/>
    <n v="23682555.559999999"/>
    <n v="5493842.3600000003"/>
    <s v=""/>
  </r>
  <r>
    <x v="9"/>
    <s v="26000 - Ministério da Educação"/>
    <x v="9"/>
    <s v="7.206.216,94"/>
    <n v="23627219.489999998"/>
    <n v="21037792.280000001"/>
    <n v="6712673.9000000004"/>
    <s v=""/>
  </r>
  <r>
    <x v="0"/>
    <s v="26000 - Ministério da Educação"/>
    <x v="9"/>
    <s v="5.751.792,87"/>
    <n v="23762623.109999999"/>
    <n v="23681751.210000001"/>
    <n v="2956171.67"/>
    <s v=""/>
  </r>
  <r>
    <x v="5"/>
    <s v="26000 - Ministério da Educação"/>
    <x v="9"/>
    <s v="16.377.969,75"/>
    <n v="33238226.530000001"/>
    <n v="36128124.009999998"/>
    <n v="1940645.1"/>
    <s v=""/>
  </r>
  <r>
    <x v="3"/>
    <s v="26000 - Ministério da Educação"/>
    <x v="9"/>
    <s v="6.960.188,09"/>
    <n v="28730634.809999999"/>
    <n v="35722862.340000004"/>
    <n v="2401408.75"/>
    <s v=""/>
  </r>
  <r>
    <x v="8"/>
    <s v="26000 - Ministério da Educação"/>
    <x v="9"/>
    <s v="305.562.347,57"/>
    <n v="23766182.07"/>
    <n v="5064967.41"/>
    <n v="26807504.969999999"/>
    <s v=""/>
  </r>
  <r>
    <x v="2"/>
    <s v="26000 - Ministério da Educação"/>
    <x v="9"/>
    <s v="9.857.585,97"/>
    <n v="27795566.870000001"/>
    <n v="26505177.41"/>
    <n v="1731045.17"/>
    <s v=""/>
  </r>
  <r>
    <x v="7"/>
    <s v="26000 - Ministério da Educação"/>
    <x v="9"/>
    <s v="3.018.289,43"/>
    <n v="27525687.84"/>
    <n v="28641616.510000002"/>
    <n v="1992879.99"/>
    <s v=""/>
  </r>
  <r>
    <x v="10"/>
    <s v="26000 - Ministério da Educação"/>
    <x v="10"/>
    <s v="1.717.776,29"/>
    <n v="20329297.219999999"/>
    <n v="17424886.23"/>
    <n v="271072.11"/>
    <s v=""/>
  </r>
  <r>
    <x v="9"/>
    <s v="26000 - Ministério da Educação"/>
    <x v="10"/>
    <s v="8.631.343,35"/>
    <n v="14502425.68"/>
    <n v="13280938.26"/>
    <n v="3619703.87"/>
    <s v=""/>
  </r>
  <r>
    <x v="4"/>
    <s v="26000 - Ministério da Educação"/>
    <x v="10"/>
    <s v="1.153.448,26"/>
    <n v="23468452.57"/>
    <n v="20033205.960000001"/>
    <n v="340870.77"/>
    <s v=""/>
  </r>
  <r>
    <x v="2"/>
    <s v="26000 - Ministério da Educação"/>
    <x v="10"/>
    <s v="1.506.503,32"/>
    <n v="17801386.170000002"/>
    <n v="17940513.059999999"/>
    <n v="215406.37"/>
    <s v=""/>
  </r>
  <r>
    <x v="0"/>
    <s v="26000 - Ministério da Educação"/>
    <x v="10"/>
    <s v="17.251.332,62"/>
    <n v="16597322.369999999"/>
    <n v="16129250.380000001"/>
    <n v="620809.52"/>
    <s v=""/>
  </r>
  <r>
    <x v="7"/>
    <s v="26000 - Ministério da Educação"/>
    <x v="10"/>
    <s v="2.841.965,81"/>
    <n v="17164852.649999999"/>
    <n v="16968240.25"/>
    <n v="650179.53"/>
    <s v=""/>
  </r>
  <r>
    <x v="8"/>
    <s v="26000 - Ministério da Educação"/>
    <x v="10"/>
    <s v="148.268.069,31"/>
    <n v="14593365.5"/>
    <n v="2266510.83"/>
    <n v="15683401.83"/>
    <s v=""/>
  </r>
  <r>
    <x v="6"/>
    <s v="26000 - Ministério da Educação"/>
    <x v="10"/>
    <s v="1.029.473,53"/>
    <n v="15146641.85"/>
    <n v="14846126.6"/>
    <n v="1185940.42"/>
    <s v=""/>
  </r>
  <r>
    <x v="1"/>
    <s v="26000 - Ministério da Educação"/>
    <x v="10"/>
    <s v="7.036.992,67"/>
    <n v="17215845.399999999"/>
    <n v="17025542.629999999"/>
    <n v="641393.78"/>
    <s v=""/>
  </r>
  <r>
    <x v="5"/>
    <s v="26000 - Ministério da Educação"/>
    <x v="10"/>
    <s v="13.888.083,54"/>
    <n v="20065328.170000002"/>
    <n v="21402960.620000001"/>
    <n v="132615.92000000001"/>
    <s v=""/>
  </r>
  <r>
    <x v="11"/>
    <s v="26000 - Ministério da Educação"/>
    <x v="10"/>
    <s v="18.836.801,73"/>
    <n v="18022642.149999999"/>
    <n v="16507256.859999999"/>
    <n v="1011811.61"/>
    <s v=""/>
  </r>
  <r>
    <x v="3"/>
    <s v="26000 - Ministério da Educação"/>
    <x v="10"/>
    <s v="4.078.608,33"/>
    <n v="16550683.52"/>
    <n v="20503686.41"/>
    <n v="61462.07"/>
    <s v=""/>
  </r>
  <r>
    <x v="1"/>
    <s v="26000 - Ministério da Educação"/>
    <x v="11"/>
    <s v="15.837.373,39"/>
    <n v="78178280.019999996"/>
    <n v="79421287.730000004"/>
    <n v="410033.78"/>
    <s v=""/>
  </r>
  <r>
    <x v="3"/>
    <s v="26000 - Ministério da Educação"/>
    <x v="11"/>
    <s v="42.848.901,57"/>
    <n v="79012919.209999993"/>
    <n v="97494790.670000002"/>
    <n v="544990.77"/>
    <s v=""/>
  </r>
  <r>
    <x v="10"/>
    <s v="26000 - Ministério da Educação"/>
    <x v="11"/>
    <s v="27.870.483,29"/>
    <n v="97411097.780000001"/>
    <n v="82836548.909999996"/>
    <n v="505221.91"/>
    <s v=""/>
  </r>
  <r>
    <x v="4"/>
    <s v="26000 - Ministério da Educação"/>
    <x v="11"/>
    <s v="40.876.100,22"/>
    <n v="113297733.67"/>
    <n v="91071362.909999996"/>
    <n v="166117.20000000001"/>
    <s v=""/>
  </r>
  <r>
    <x v="7"/>
    <s v="26000 - Ministério da Educação"/>
    <x v="11"/>
    <s v="8.021.205,73"/>
    <n v="80312484.370000005"/>
    <n v="79109748.560000002"/>
    <n v="376324.93"/>
    <s v=""/>
  </r>
  <r>
    <x v="9"/>
    <s v="26000 - Ministério da Educação"/>
    <x v="11"/>
    <s v="32.544.436,44"/>
    <n v="75102037.540000007"/>
    <n v="66530714.5"/>
    <n v="16694681.82"/>
    <s v=""/>
  </r>
  <r>
    <x v="8"/>
    <s v="26000 - Ministério da Educação"/>
    <x v="11"/>
    <s v="793.107.309,92"/>
    <n v="72131108.239999995"/>
    <n v="13119936.289999999"/>
    <n v="81648990.900000006"/>
    <s v=""/>
  </r>
  <r>
    <x v="6"/>
    <s v="26000 - Ministério da Educação"/>
    <x v="11"/>
    <s v="- 10.625.234,55"/>
    <n v="76595044.560000002"/>
    <n v="75553113.390000001"/>
    <n v="2285847.19"/>
    <s v=""/>
  </r>
  <r>
    <x v="2"/>
    <s v="26000 - Ministério da Educação"/>
    <x v="11"/>
    <s v="11.596.502,91"/>
    <n v="80898367.700000003"/>
    <n v="80924132.609999999"/>
    <n v="384059.52"/>
    <s v=""/>
  </r>
  <r>
    <x v="0"/>
    <s v="26000 - Ministério da Educação"/>
    <x v="11"/>
    <s v="6.108.113,70"/>
    <n v="73299970.260000005"/>
    <n v="74675559.280000001"/>
    <n v="1552145.07"/>
    <s v=""/>
  </r>
  <r>
    <x v="5"/>
    <s v="26000 - Ministério da Educação"/>
    <x v="11"/>
    <s v="23.463.919,80"/>
    <n v="94936712"/>
    <n v="96412969.969999999"/>
    <n v="1073949.1599999999"/>
    <s v=""/>
  </r>
  <r>
    <x v="11"/>
    <s v="26000 - Ministério da Educação"/>
    <x v="11"/>
    <s v="25.345.025,81"/>
    <n v="83295188.640000001"/>
    <n v="75435744.909999996"/>
    <n v="10302906.42"/>
    <s v=""/>
  </r>
  <r>
    <x v="1"/>
    <s v="26000 - Ministério da Educação"/>
    <x v="12"/>
    <s v="3.126.144,27"/>
    <n v="28628742.370000001"/>
    <n v="28733451.43"/>
    <n v="2050004.35"/>
    <s v=""/>
  </r>
  <r>
    <x v="0"/>
    <s v="26000 - Ministério da Educação"/>
    <x v="12"/>
    <s v="7.054.552,39"/>
    <n v="26534065.969999999"/>
    <n v="25698603.329999998"/>
    <n v="4181412.6"/>
    <s v=""/>
  </r>
  <r>
    <x v="4"/>
    <s v="26000 - Ministério da Educação"/>
    <x v="12"/>
    <s v="28.993.724,25"/>
    <n v="43141563.579999998"/>
    <n v="36768032.700000003"/>
    <n v="1263423.92"/>
    <s v=""/>
  </r>
  <r>
    <x v="9"/>
    <s v="26000 - Ministério da Educação"/>
    <x v="12"/>
    <s v="3.659.926,95"/>
    <n v="24276378.260000002"/>
    <n v="21495821.420000002"/>
    <n v="7217364.1299999999"/>
    <s v=""/>
  </r>
  <r>
    <x v="5"/>
    <s v="26000 - Ministério da Educação"/>
    <x v="12"/>
    <s v="38.517.761,20"/>
    <n v="36568751.009999998"/>
    <n v="37287053.75"/>
    <n v="1438824.47"/>
    <s v=""/>
  </r>
  <r>
    <x v="11"/>
    <s v="26000 - Ministério da Educação"/>
    <x v="12"/>
    <s v="18.731.957,07"/>
    <n v="31396850.109999999"/>
    <n v="27196787.710000001"/>
    <n v="2065271.85"/>
    <s v=""/>
  </r>
  <r>
    <x v="6"/>
    <s v="26000 - Ministério da Educação"/>
    <x v="12"/>
    <s v="50.323.385,37"/>
    <n v="25101438.649999999"/>
    <n v="24597939.329999998"/>
    <n v="3807231.84"/>
    <s v=""/>
  </r>
  <r>
    <x v="7"/>
    <s v="26000 - Ministério da Educação"/>
    <x v="12"/>
    <s v="49.879.293,68"/>
    <n v="28781363.82"/>
    <n v="28293032.109999999"/>
    <n v="953176.39"/>
    <s v=""/>
  </r>
  <r>
    <x v="8"/>
    <s v="26000 - Ministério da Educação"/>
    <x v="12"/>
    <s v="75.831.811,79"/>
    <n v="24381138.809999999"/>
    <n v="5121393.9000000004"/>
    <n v="28853607.93"/>
    <s v=""/>
  </r>
  <r>
    <x v="2"/>
    <s v="26000 - Ministério da Educação"/>
    <x v="12"/>
    <s v="12.318.417,61"/>
    <n v="29319195.489999998"/>
    <n v="29610700"/>
    <n v="1766403.77"/>
    <s v=""/>
  </r>
  <r>
    <x v="3"/>
    <s v="26000 - Ministério da Educação"/>
    <x v="12"/>
    <s v="69.372.144,97"/>
    <n v="28076703.190000001"/>
    <n v="35060127.420000002"/>
    <n v="5979675.9100000001"/>
    <s v=""/>
  </r>
  <r>
    <x v="10"/>
    <s v="26000 - Ministério da Educação"/>
    <x v="12"/>
    <s v="29.031.828,69"/>
    <n v="34763535.520000003"/>
    <n v="28198177.93"/>
    <n v="4109153.63"/>
    <s v=""/>
  </r>
  <r>
    <x v="6"/>
    <s v="26000 - Ministério da Educação"/>
    <x v="13"/>
    <s v="- 26.581.414,69"/>
    <n v="75042716.689999998"/>
    <n v="76016204.439999998"/>
    <n v="3212283.27"/>
    <s v=""/>
  </r>
  <r>
    <x v="11"/>
    <s v="26000 - Ministério da Educação"/>
    <x v="13"/>
    <s v="27.949.898,45"/>
    <n v="85344036.530000001"/>
    <n v="78164689.329999998"/>
    <n v="22482448.280000001"/>
    <s v=""/>
  </r>
  <r>
    <x v="7"/>
    <s v="26000 - Ministério da Educação"/>
    <x v="13"/>
    <s v="11.850.636,11"/>
    <n v="79795912.239999995"/>
    <n v="79912506.439999998"/>
    <n v="725495.11"/>
    <s v=""/>
  </r>
  <r>
    <x v="8"/>
    <s v="26000 - Ministério da Educação"/>
    <x v="13"/>
    <s v="757.273.185,29"/>
    <n v="72969937.659999996"/>
    <n v="18198512.309999999"/>
    <n v="65135948.670000002"/>
    <s v=""/>
  </r>
  <r>
    <x v="4"/>
    <s v="26000 - Ministério da Educação"/>
    <x v="13"/>
    <s v="33.958.673,34"/>
    <n v="112820298.28"/>
    <n v="93701764.280000001"/>
    <n v="426383.65"/>
    <s v=""/>
  </r>
  <r>
    <x v="5"/>
    <s v="26000 - Ministério da Educação"/>
    <x v="13"/>
    <s v="35.321.970,27"/>
    <n v="95467897.409999996"/>
    <n v="111662513.91"/>
    <n v="507595.32"/>
    <s v=""/>
  </r>
  <r>
    <x v="3"/>
    <s v="26000 - Ministério da Educação"/>
    <x v="13"/>
    <s v="21.973.387,25"/>
    <n v="75764200.379999995"/>
    <n v="95524572.709999993"/>
    <n v="1076541.25"/>
    <s v=""/>
  </r>
  <r>
    <x v="2"/>
    <s v="26000 - Ministério da Educação"/>
    <x v="13"/>
    <s v="13.127.568,75"/>
    <n v="83468327.629999995"/>
    <n v="78926793.689999998"/>
    <n v="954100.78"/>
    <s v=""/>
  </r>
  <r>
    <x v="9"/>
    <s v="26000 - Ministério da Educação"/>
    <x v="13"/>
    <s v="96.284.285,87"/>
    <n v="74045972.469999999"/>
    <n v="64680815.560000002"/>
    <n v="12972591.960000001"/>
    <s v=""/>
  </r>
  <r>
    <x v="0"/>
    <s v="26000 - Ministério da Educação"/>
    <x v="13"/>
    <s v="30.552.450,38"/>
    <n v="78839037.069999993"/>
    <n v="79164457.540000007"/>
    <n v="3243975.45"/>
    <s v=""/>
  </r>
  <r>
    <x v="10"/>
    <s v="26000 - Ministério da Educação"/>
    <x v="13"/>
    <s v="13.879.172,56"/>
    <n v="96678406.079999998"/>
    <n v="83371170.75"/>
    <n v="2161050.63"/>
    <s v=""/>
  </r>
  <r>
    <x v="1"/>
    <s v="26000 - Ministério da Educação"/>
    <x v="13"/>
    <s v="19.139.144,33"/>
    <n v="78964551"/>
    <n v="77068142.870000005"/>
    <n v="1038211.11"/>
    <s v=""/>
  </r>
  <r>
    <x v="10"/>
    <s v="26000 - Ministério da Educação"/>
    <x v="14"/>
    <s v="79.252.771,26"/>
    <n v="84393490.170000002"/>
    <n v="63509379.280000001"/>
    <n v="1345247.37"/>
    <s v=""/>
  </r>
  <r>
    <x v="2"/>
    <s v="26000 - Ministério da Educação"/>
    <x v="14"/>
    <s v="59.425.320,29"/>
    <n v="63684771.460000001"/>
    <n v="64320575.189999998"/>
    <n v="348994.14"/>
    <s v=""/>
  </r>
  <r>
    <x v="1"/>
    <s v="26000 - Ministério da Educação"/>
    <x v="14"/>
    <s v="49.526.223,61"/>
    <n v="66699534.75"/>
    <n v="65412624.850000001"/>
    <n v="2636651.34"/>
    <s v=""/>
  </r>
  <r>
    <x v="4"/>
    <s v="26000 - Ministério da Educação"/>
    <x v="14"/>
    <s v="89.000.759,60"/>
    <n v="91107956.689999998"/>
    <n v="71904956.75"/>
    <n v="1400069.05"/>
    <s v=""/>
  </r>
  <r>
    <x v="0"/>
    <s v="26000 - Ministério da Educação"/>
    <x v="14"/>
    <s v="72.219.110,30"/>
    <n v="61850855.600000001"/>
    <n v="50010049.68"/>
    <n v="3172150.84"/>
    <s v=""/>
  </r>
  <r>
    <x v="5"/>
    <s v="26000 - Ministério da Educação"/>
    <x v="14"/>
    <s v="84.612.286,79"/>
    <n v="82513108.370000005"/>
    <n v="79092948.200000003"/>
    <n v="1908577.99"/>
    <s v=""/>
  </r>
  <r>
    <x v="8"/>
    <s v="26000 - Ministério da Educação"/>
    <x v="14"/>
    <s v="65.326.986,97"/>
    <n v="64536436.140000001"/>
    <n v="12808025.109999999"/>
    <n v="60053670.359999999"/>
    <s v=""/>
  </r>
  <r>
    <x v="7"/>
    <s v="26000 - Ministério da Educação"/>
    <x v="14"/>
    <s v="64.524.012,74"/>
    <n v="61827272"/>
    <n v="63170413.710000001"/>
    <n v="1743657.61"/>
    <s v=""/>
  </r>
  <r>
    <x v="9"/>
    <s v="26000 - Ministério da Educação"/>
    <x v="14"/>
    <s v="62.827.386,46"/>
    <n v="61804962.460000001"/>
    <n v="56961950.840000004"/>
    <n v="10623205.630000001"/>
    <s v=""/>
  </r>
  <r>
    <x v="11"/>
    <s v="26000 - Ministério da Educação"/>
    <x v="14"/>
    <s v="68.014.471,86"/>
    <n v="62473668.409999996"/>
    <n v="70736442.310000002"/>
    <n v="2916178.22"/>
    <s v=""/>
  </r>
  <r>
    <x v="6"/>
    <s v="26000 - Ministério da Educação"/>
    <x v="14"/>
    <s v="58.630.043,06"/>
    <n v="56992475.200000003"/>
    <n v="61588055.649999999"/>
    <n v="2904899.18"/>
    <s v=""/>
  </r>
  <r>
    <x v="3"/>
    <s v="26000 - Ministério da Educação"/>
    <x v="14"/>
    <s v="77.807.566,44"/>
    <n v="64780948.43"/>
    <n v="85417692.75"/>
    <n v="2435564.77"/>
    <s v=""/>
  </r>
  <r>
    <x v="11"/>
    <s v="26000 - Ministério da Educação"/>
    <x v="15"/>
    <s v="9.454.832,79"/>
    <n v="35294287.539999999"/>
    <n v="32581678.5"/>
    <n v="720038.41"/>
    <s v=""/>
  </r>
  <r>
    <x v="9"/>
    <s v="26000 - Ministério da Educação"/>
    <x v="15"/>
    <s v="5.659.956,00"/>
    <n v="30634748.420000002"/>
    <n v="28143254.940000001"/>
    <n v="5241920.24"/>
    <s v=""/>
  </r>
  <r>
    <x v="4"/>
    <s v="26000 - Ministério da Educação"/>
    <x v="15"/>
    <s v="19.093.364,63"/>
    <n v="49380905.479999997"/>
    <n v="32319099.07"/>
    <n v="16688.509999999998"/>
    <s v=""/>
  </r>
  <r>
    <x v="3"/>
    <s v="26000 - Ministério da Educação"/>
    <x v="15"/>
    <s v="6.847.289,95"/>
    <n v="34702864.450000003"/>
    <n v="43583613.609999999"/>
    <n v="1671378.17"/>
    <s v=""/>
  </r>
  <r>
    <x v="7"/>
    <s v="26000 - Ministério da Educação"/>
    <x v="15"/>
    <s v="3.584.395,36"/>
    <n v="32582315.710000001"/>
    <n v="32622269.010000002"/>
    <n v="59071.56"/>
    <s v=""/>
  </r>
  <r>
    <x v="5"/>
    <s v="26000 - Ministério da Educação"/>
    <x v="15"/>
    <s v="16.734.690,58"/>
    <n v="40869500.369999997"/>
    <n v="62623075.530000001"/>
    <n v="64804.19"/>
    <s v=""/>
  </r>
  <r>
    <x v="2"/>
    <s v="26000 - Ministério da Educação"/>
    <x v="15"/>
    <s v="693.201,23"/>
    <n v="33022050.43"/>
    <n v="33742659.780000001"/>
    <n v="67722.81"/>
    <s v=""/>
  </r>
  <r>
    <x v="0"/>
    <s v="26000 - Ministério da Educação"/>
    <x v="15"/>
    <s v="32.170.298,99"/>
    <n v="32674603.850000001"/>
    <n v="32403159.370000001"/>
    <n v="632288.34"/>
    <s v=""/>
  </r>
  <r>
    <x v="1"/>
    <s v="26000 - Ministério da Educação"/>
    <x v="15"/>
    <s v="- 1.065.537,54"/>
    <n v="32459162.039999999"/>
    <n v="33048259.100000001"/>
    <n v="146965.85999999999"/>
    <s v=""/>
  </r>
  <r>
    <x v="6"/>
    <s v="26000 - Ministério da Educação"/>
    <x v="15"/>
    <s v="2.290.126,79"/>
    <n v="30998256.59"/>
    <n v="31132875.620000001"/>
    <n v="1155960.27"/>
    <s v=""/>
  </r>
  <r>
    <x v="8"/>
    <s v="26000 - Ministério da Educação"/>
    <x v="15"/>
    <s v="330.647.644,58"/>
    <n v="32529563.789999999"/>
    <n v="2856325.1200000001"/>
    <n v="33286595.390000001"/>
    <s v=""/>
  </r>
  <r>
    <x v="10"/>
    <s v="26000 - Ministério da Educação"/>
    <x v="15"/>
    <s v="10.415.036,84"/>
    <n v="41567622.810000002"/>
    <n v="33657218.520000003"/>
    <n v="538727.96"/>
    <s v=""/>
  </r>
  <r>
    <x v="9"/>
    <s v="26000 - Ministério da Educação"/>
    <x v="16"/>
    <s v="23.098.448,51"/>
    <n v="124264386.06"/>
    <n v="111469698.58"/>
    <n v="25993319.460000001"/>
    <s v=""/>
  </r>
  <r>
    <x v="3"/>
    <s v="26000 - Ministério da Educação"/>
    <x v="16"/>
    <s v="24.042.871,54"/>
    <n v="132419056.65000001"/>
    <n v="168672874.94999999"/>
    <n v="494376.05"/>
    <s v=""/>
  </r>
  <r>
    <x v="2"/>
    <s v="26000 - Ministério da Educação"/>
    <x v="16"/>
    <s v="24.114.522,38"/>
    <n v="148240383.41"/>
    <n v="139955576.81999999"/>
    <n v="989805.18"/>
    <s v=""/>
  </r>
  <r>
    <x v="1"/>
    <s v="26000 - Ministério da Educação"/>
    <x v="16"/>
    <s v="40.001.311,29"/>
    <n v="133430901.56"/>
    <n v="131879936.54000001"/>
    <n v="973223.65"/>
    <s v=""/>
  </r>
  <r>
    <x v="10"/>
    <s v="26000 - Ministério da Educação"/>
    <x v="16"/>
    <s v="7.213.090,85"/>
    <n v="170178223.65000001"/>
    <n v="134703771.65000001"/>
    <n v="1177971.53"/>
    <s v=""/>
  </r>
  <r>
    <x v="6"/>
    <s v="26000 - Ministério da Educação"/>
    <x v="16"/>
    <s v="- 12.304.582,55"/>
    <n v="121969566.43000001"/>
    <n v="124862613.2"/>
    <n v="7090003.3099999996"/>
    <s v=""/>
  </r>
  <r>
    <x v="7"/>
    <s v="26000 - Ministério da Educação"/>
    <x v="16"/>
    <s v="11.667.215,41"/>
    <n v="129056970.02"/>
    <n v="132088176.69"/>
    <n v="650992.94999999995"/>
    <s v=""/>
  </r>
  <r>
    <x v="11"/>
    <s v="26000 - Ministério da Educação"/>
    <x v="16"/>
    <s v="38.743.422,46"/>
    <n v="134699485.38"/>
    <n v="136277246.44"/>
    <n v="1708404.74"/>
    <s v=""/>
  </r>
  <r>
    <x v="0"/>
    <s v="26000 - Ministério da Educação"/>
    <x v="16"/>
    <s v="48.721.765,97"/>
    <n v="141959166.40000001"/>
    <n v="133789053.06999999"/>
    <n v="2742640.82"/>
    <s v=""/>
  </r>
  <r>
    <x v="5"/>
    <s v="26000 - Ministério da Educação"/>
    <x v="16"/>
    <s v="13.241.861,58"/>
    <n v="157007568.15000001"/>
    <n v="164650554.25999999"/>
    <n v="1002225.75"/>
    <s v=""/>
  </r>
  <r>
    <x v="4"/>
    <s v="26000 - Ministério da Educação"/>
    <x v="16"/>
    <s v="- 14.451.559,14"/>
    <n v="186895364.97"/>
    <n v="155995033.22"/>
    <n v="163162.03"/>
    <s v=""/>
  </r>
  <r>
    <x v="8"/>
    <s v="26000 - Ministério da Educação"/>
    <x v="16"/>
    <s v="1.521.196.146,80"/>
    <n v="128243758.86"/>
    <n v="26476537.649999999"/>
    <n v="137541043.75"/>
    <s v=""/>
  </r>
  <r>
    <x v="0"/>
    <s v="26000 - Ministério da Educação"/>
    <x v="17"/>
    <s v="35.792.670,41"/>
    <n v="31316611.989999998"/>
    <n v="28941863.649999999"/>
    <n v="3976252.98"/>
    <s v=""/>
  </r>
  <r>
    <x v="6"/>
    <s v="26000 - Ministério da Educação"/>
    <x v="17"/>
    <s v="25.513.951,27"/>
    <n v="27946836.129999999"/>
    <n v="26670948.219999999"/>
    <n v="5750035.1500000004"/>
    <s v=""/>
  </r>
  <r>
    <x v="3"/>
    <s v="26000 - Ministério da Educação"/>
    <x v="17"/>
    <s v="31.462.708,09"/>
    <n v="32081341.640000001"/>
    <n v="37596928.450000003"/>
    <n v="1337982.3799999999"/>
    <s v=""/>
  </r>
  <r>
    <x v="9"/>
    <s v="26000 - Ministério da Educação"/>
    <x v="17"/>
    <s v="34.308.753,32"/>
    <n v="25338254.079999998"/>
    <n v="25248239.239999998"/>
    <n v="5602425.6100000003"/>
    <s v=""/>
  </r>
  <r>
    <x v="2"/>
    <s v="26000 - Ministério da Educação"/>
    <x v="17"/>
    <s v="27.780.238,99"/>
    <n v="31893661.899999999"/>
    <n v="31157600"/>
    <n v="1118163.3799999999"/>
    <s v=""/>
  </r>
  <r>
    <x v="4"/>
    <s v="26000 - Ministério da Educação"/>
    <x v="17"/>
    <s v="52.317.275,59"/>
    <n v="47550936.859999999"/>
    <n v="39712787.119999997"/>
    <n v="1376250.29"/>
    <s v=""/>
  </r>
  <r>
    <x v="1"/>
    <s v="26000 - Ministério da Educação"/>
    <x v="17"/>
    <s v="28.305.011,31"/>
    <n v="32286688.899999999"/>
    <n v="31998275.989999998"/>
    <n v="1214731.79"/>
    <s v=""/>
  </r>
  <r>
    <x v="10"/>
    <s v="26000 - Ministério da Educação"/>
    <x v="17"/>
    <s v="38.567.962,68"/>
    <n v="37344600.630000003"/>
    <n v="31016690.52"/>
    <n v="607540.16"/>
    <s v=""/>
  </r>
  <r>
    <x v="7"/>
    <s v="26000 - Ministério da Educação"/>
    <x v="17"/>
    <s v="34.834.681,13"/>
    <n v="30170062.48"/>
    <n v="31676951"/>
    <n v="925548.54"/>
    <s v=""/>
  </r>
  <r>
    <x v="5"/>
    <s v="26000 - Ministério da Educação"/>
    <x v="17"/>
    <s v="30.786.083,31"/>
    <n v="40871505.82"/>
    <n v="47239374.530000001"/>
    <n v="1332033.8600000001"/>
    <s v=""/>
  </r>
  <r>
    <x v="11"/>
    <s v="26000 - Ministério da Educação"/>
    <x v="17"/>
    <s v="48.534.075,43"/>
    <n v="30575336.620000001"/>
    <n v="30815890.870000001"/>
    <n v="5083826.3"/>
    <s v=""/>
  </r>
  <r>
    <x v="8"/>
    <s v="26000 - Ministério da Educação"/>
    <x v="17"/>
    <s v="26.564.373,58"/>
    <n v="25110782.23"/>
    <n v="5990010.3399999999"/>
    <n v="31183633.239999998"/>
    <s v=""/>
  </r>
  <r>
    <x v="10"/>
    <s v="26000 - Ministério da Educação"/>
    <x v="18"/>
    <s v="11.858.129,01"/>
    <n v="40609316.899999999"/>
    <n v="33006745.739999998"/>
    <n v="516221.5"/>
    <s v=""/>
  </r>
  <r>
    <x v="6"/>
    <s v="26000 - Ministério da Educação"/>
    <x v="18"/>
    <s v="2.456.617,15"/>
    <n v="32705517.920000002"/>
    <n v="33221608.030000001"/>
    <n v="3772304"/>
    <s v=""/>
  </r>
  <r>
    <x v="11"/>
    <s v="26000 - Ministério da Educação"/>
    <x v="18"/>
    <s v="21.072.693,63"/>
    <n v="34468058.719999999"/>
    <n v="32950098.780000001"/>
    <n v="2897560.32"/>
    <s v=""/>
  </r>
  <r>
    <x v="7"/>
    <s v="26000 - Ministério da Educação"/>
    <x v="18"/>
    <s v="4.796.120,45"/>
    <n v="35025123.710000001"/>
    <n v="34697408.030000001"/>
    <n v="2113233.69"/>
    <s v=""/>
  </r>
  <r>
    <x v="3"/>
    <s v="26000 - Ministério da Educação"/>
    <x v="18"/>
    <s v="7.252.500,63"/>
    <n v="34119398.060000002"/>
    <n v="39242822.399999999"/>
    <n v="507076.03"/>
    <s v=""/>
  </r>
  <r>
    <x v="1"/>
    <s v="26000 - Ministério da Educação"/>
    <x v="18"/>
    <s v="1.277.142,44"/>
    <n v="34899732.289999999"/>
    <n v="33716039.75"/>
    <n v="408028.2"/>
    <s v=""/>
  </r>
  <r>
    <x v="8"/>
    <s v="26000 - Ministério da Educação"/>
    <x v="18"/>
    <s v="374.578.745,93"/>
    <n v="30420911.030000001"/>
    <n v="6214106.3700000001"/>
    <n v="33020840.030000001"/>
    <s v=""/>
  </r>
  <r>
    <x v="0"/>
    <s v="26000 - Ministério da Educação"/>
    <x v="18"/>
    <s v="16.647.497,23"/>
    <n v="32819934.879999999"/>
    <n v="33212551.140000001"/>
    <n v="1919669.41"/>
    <s v=""/>
  </r>
  <r>
    <x v="4"/>
    <s v="26000 - Ministério da Educação"/>
    <x v="18"/>
    <s v="- 732.097,14"/>
    <n v="52269555.740000002"/>
    <n v="40841931.460000001"/>
    <n v="872216.33"/>
    <s v=""/>
  </r>
  <r>
    <x v="9"/>
    <s v="26000 - Ministério da Educação"/>
    <x v="18"/>
    <s v="8.230.998,95"/>
    <n v="32235482.98"/>
    <n v="31627133.52"/>
    <n v="1237308.99"/>
    <s v=""/>
  </r>
  <r>
    <x v="5"/>
    <s v="26000 - Ministério da Educação"/>
    <x v="18"/>
    <s v="11.224.636,61"/>
    <n v="47207086.759999998"/>
    <n v="52346687.759999998"/>
    <n v="1669197.58"/>
    <s v=""/>
  </r>
  <r>
    <x v="2"/>
    <s v="26000 - Ministério da Educação"/>
    <x v="18"/>
    <s v="3.369.088,43"/>
    <n v="36362819.460000001"/>
    <n v="35541289.350000001"/>
    <n v="926519.06"/>
    <s v=""/>
  </r>
  <r>
    <x v="8"/>
    <s v="26000 - Ministério da Educação"/>
    <x v="19"/>
    <s v="207.834.379,77"/>
    <n v="17319265.530000001"/>
    <n v="3547743.6"/>
    <n v="34624536.920000002"/>
    <s v=""/>
  </r>
  <r>
    <x v="3"/>
    <s v="26000 - Ministério da Educação"/>
    <x v="19"/>
    <s v="6.531.241,70"/>
    <n v="21006281.300000001"/>
    <n v="25345690.789999999"/>
    <n v="1829512.49"/>
    <s v=""/>
  </r>
  <r>
    <x v="10"/>
    <s v="26000 - Ministério da Educação"/>
    <x v="19"/>
    <s v="- 191.132,16"/>
    <n v="23984520.260000002"/>
    <n v="20095778.829999998"/>
    <n v="4936394.21"/>
    <s v=""/>
  </r>
  <r>
    <x v="1"/>
    <s v="26000 - Ministério da Educação"/>
    <x v="19"/>
    <s v="3.430.765,92"/>
    <n v="20642507.079999998"/>
    <n v="21025326.170000002"/>
    <n v="1106432.5900000001"/>
    <s v=""/>
  </r>
  <r>
    <x v="5"/>
    <s v="26000 - Ministério da Educação"/>
    <x v="19"/>
    <s v="45.781.061,43"/>
    <n v="26022758.100000001"/>
    <n v="31253388.379999999"/>
    <n v="3439935.8"/>
    <s v=""/>
  </r>
  <r>
    <x v="11"/>
    <s v="26000 - Ministério da Educação"/>
    <x v="19"/>
    <s v="9.364.817,93"/>
    <n v="20282380.23"/>
    <n v="19267484.260000002"/>
    <n v="10311354.93"/>
    <s v=""/>
  </r>
  <r>
    <x v="2"/>
    <s v="26000 - Ministério da Educação"/>
    <x v="19"/>
    <s v="2.538.288,35"/>
    <n v="22213567.84"/>
    <n v="22426565.190000001"/>
    <n v="2185308.2400000002"/>
    <s v=""/>
  </r>
  <r>
    <x v="4"/>
    <s v="26000 - Ministério da Educação"/>
    <x v="19"/>
    <s v="8.278.148,99"/>
    <n v="44151186.770000003"/>
    <n v="38030616.740000002"/>
    <n v="1829815.79"/>
    <s v=""/>
  </r>
  <r>
    <x v="7"/>
    <s v="26000 - Ministério da Educação"/>
    <x v="19"/>
    <s v="18.055.994,44"/>
    <n v="20534295"/>
    <n v="20171525.809999999"/>
    <n v="2055140.33"/>
    <s v=""/>
  </r>
  <r>
    <x v="0"/>
    <s v="26000 - Ministério da Educação"/>
    <x v="19"/>
    <s v="14.722.395,70"/>
    <n v="19037658.710000001"/>
    <n v="19961099.23"/>
    <n v="5644445.9000000004"/>
    <s v=""/>
  </r>
  <r>
    <x v="9"/>
    <s v="26000 - Ministério da Educação"/>
    <x v="19"/>
    <s v="5.381.702,58"/>
    <n v="18117734.530000001"/>
    <n v="17738532.539999999"/>
    <n v="2855471.06"/>
    <s v=""/>
  </r>
  <r>
    <x v="6"/>
    <s v="26000 - Ministério da Educação"/>
    <x v="19"/>
    <s v="2.277.073,84"/>
    <n v="19979078.309999999"/>
    <n v="18820107.030000001"/>
    <n v="7389746.9800000004"/>
    <s v=""/>
  </r>
  <r>
    <x v="7"/>
    <s v="26000 - Ministério da Educação"/>
    <x v="20"/>
    <s v="4.706.890,19"/>
    <n v="72718730.349999994"/>
    <n v="96267223.760000005"/>
    <n v="711387.47"/>
    <s v=""/>
  </r>
  <r>
    <x v="2"/>
    <s v="26000 - Ministério da Educação"/>
    <x v="20"/>
    <s v="13.471.727,39"/>
    <n v="84693027.659999996"/>
    <n v="101424126.01000001"/>
    <n v="372893.72"/>
    <s v=""/>
  </r>
  <r>
    <x v="8"/>
    <s v="26000 - Ministério da Educação"/>
    <x v="20"/>
    <s v="918.302.612,47"/>
    <n v="71926875.75"/>
    <n v="5416298.96"/>
    <n v="91268397.439999998"/>
    <s v=""/>
  </r>
  <r>
    <x v="6"/>
    <s v="26000 - Ministério da Educação"/>
    <x v="20"/>
    <s v="9.641.789,73"/>
    <n v="80740527.480000004"/>
    <n v="78083393.060000002"/>
    <n v="2808815.36"/>
    <s v=""/>
  </r>
  <r>
    <x v="0"/>
    <s v="26000 - Ministério da Educação"/>
    <x v="20"/>
    <s v="25.560.813,63"/>
    <n v="75700300.5"/>
    <n v="77823090.480000004"/>
    <n v="10950230.99"/>
    <s v=""/>
  </r>
  <r>
    <x v="11"/>
    <s v="26000 - Ministério da Educação"/>
    <x v="20"/>
    <s v="8.792.279,30"/>
    <n v="77903721.879999995"/>
    <n v="77502465.810000002"/>
    <n v="2693594.61"/>
    <s v=""/>
  </r>
  <r>
    <x v="4"/>
    <s v="26000 - Ministério da Educação"/>
    <x v="20"/>
    <s v="18.788.507,30"/>
    <n v="105280216.36"/>
    <n v="85440509.950000003"/>
    <n v="338686.47"/>
    <s v=""/>
  </r>
  <r>
    <x v="5"/>
    <s v="26000 - Ministério da Educação"/>
    <x v="20"/>
    <s v="35.203.771,53"/>
    <n v="113331463.77"/>
    <n v="111901037.58"/>
    <n v="1383126.05"/>
    <s v=""/>
  </r>
  <r>
    <x v="9"/>
    <s v="26000 - Ministério da Educação"/>
    <x v="20"/>
    <s v="4.189.457,51"/>
    <n v="71722794.569999993"/>
    <n v="64400368.75"/>
    <n v="19072335.399999999"/>
    <s v=""/>
  </r>
  <r>
    <x v="10"/>
    <s v="26000 - Ministério da Educação"/>
    <x v="20"/>
    <s v="45.413.535,38"/>
    <n v="91375910.989999995"/>
    <n v="84581316.420000002"/>
    <n v="655321.97"/>
    <s v=""/>
  </r>
  <r>
    <x v="3"/>
    <s v="26000 - Ministério da Educação"/>
    <x v="20"/>
    <s v="33.188.512,21"/>
    <n v="87917351.230000004"/>
    <n v="99419519.689999998"/>
    <n v="2648965.0499999998"/>
    <s v=""/>
  </r>
  <r>
    <x v="1"/>
    <s v="26000 - Ministério da Educação"/>
    <x v="20"/>
    <s v="10.086.766,31"/>
    <n v="105246446.41"/>
    <n v="86825959.379999995"/>
    <n v="197554.03"/>
    <s v=""/>
  </r>
  <r>
    <x v="6"/>
    <s v="26000 - Ministério da Educação"/>
    <x v="21"/>
    <s v="12.706.636,19"/>
    <n v="82633662.219999999"/>
    <n v="88468144.510000005"/>
    <n v="11562279.76"/>
    <s v=""/>
  </r>
  <r>
    <x v="1"/>
    <s v="26000 - Ministério da Educação"/>
    <x v="21"/>
    <s v="10.309.704,46"/>
    <n v="85163241.230000004"/>
    <n v="92752425.939999998"/>
    <n v="877596.6"/>
    <s v=""/>
  </r>
  <r>
    <x v="0"/>
    <s v="26000 - Ministério da Educação"/>
    <x v="21"/>
    <s v="71.356.713,39"/>
    <n v="84404865.349999994"/>
    <n v="83737373.040000007"/>
    <n v="2331572.65"/>
    <s v=""/>
  </r>
  <r>
    <x v="7"/>
    <s v="26000 - Ministério da Educação"/>
    <x v="21"/>
    <s v="12.481.474,07"/>
    <n v="88378503.319999993"/>
    <n v="88528050.209999993"/>
    <n v="938714.88"/>
    <s v=""/>
  </r>
  <r>
    <x v="9"/>
    <s v="26000 - Ministério da Educação"/>
    <x v="21"/>
    <s v="11.602.901,87"/>
    <n v="78936543.5"/>
    <n v="72763296.819999993"/>
    <n v="13974402.619999999"/>
    <s v=""/>
  </r>
  <r>
    <x v="3"/>
    <s v="26000 - Ministério da Educação"/>
    <x v="21"/>
    <s v="9.582.893,37"/>
    <n v="86533746.310000002"/>
    <n v="103544642.98"/>
    <n v="874904.05"/>
    <s v=""/>
  </r>
  <r>
    <x v="11"/>
    <s v="26000 - Ministério da Educação"/>
    <x v="21"/>
    <s v="23.599.152,21"/>
    <n v="90853975"/>
    <n v="85376669.480000004"/>
    <n v="2518608.87"/>
    <s v=""/>
  </r>
  <r>
    <x v="2"/>
    <s v="26000 - Ministério da Educação"/>
    <x v="21"/>
    <s v="85.566.943,76"/>
    <n v="101569741.67"/>
    <n v="100451796.31"/>
    <n v="1674147.34"/>
    <s v=""/>
  </r>
  <r>
    <x v="5"/>
    <s v="26000 - Ministério da Educação"/>
    <x v="21"/>
    <s v="89.609.187,74"/>
    <n v="116853312.37"/>
    <n v="138457408.72999999"/>
    <n v="3535774.76"/>
    <s v=""/>
  </r>
  <r>
    <x v="8"/>
    <s v="26000 - Ministério da Educação"/>
    <x v="21"/>
    <s v="800.551.745,77"/>
    <n v="75222741.299999997"/>
    <n v="15929371.609999999"/>
    <n v="79598088.579999998"/>
    <s v=""/>
  </r>
  <r>
    <x v="10"/>
    <s v="26000 - Ministério da Educação"/>
    <x v="21"/>
    <s v="9.938.786,83"/>
    <n v="111274862.47"/>
    <n v="89280166.640000001"/>
    <n v="3248289.12"/>
    <s v=""/>
  </r>
  <r>
    <x v="4"/>
    <s v="26000 - Ministério da Educação"/>
    <x v="21"/>
    <s v="56.495.090,06"/>
    <n v="140857069.94999999"/>
    <n v="102825656.76000001"/>
    <n v="677168.23"/>
    <s v=""/>
  </r>
  <r>
    <x v="0"/>
    <s v="26000 - Ministério da Educação"/>
    <x v="22"/>
    <s v="10.142.186,85"/>
    <n v="31944821.460000001"/>
    <n v="31774065.68"/>
    <n v="1221725.5900000001"/>
    <s v=""/>
  </r>
  <r>
    <x v="4"/>
    <s v="26000 - Ministério da Educação"/>
    <x v="22"/>
    <s v="- 2.019.827,03"/>
    <n v="49801738.310000002"/>
    <n v="42517746.289999999"/>
    <n v="133162.85999999999"/>
    <s v=""/>
  </r>
  <r>
    <x v="6"/>
    <s v="26000 - Ministério da Educação"/>
    <x v="22"/>
    <s v="3.493.655,42"/>
    <n v="30973517.059999999"/>
    <n v="30647984.890000001"/>
    <n v="2001378.65"/>
    <s v=""/>
  </r>
  <r>
    <x v="1"/>
    <s v="26000 - Ministério da Educação"/>
    <x v="22"/>
    <s v="1.736.689,10"/>
    <n v="34160246.740000002"/>
    <n v="34075270.740000002"/>
    <n v="427910.7"/>
    <s v=""/>
  </r>
  <r>
    <x v="11"/>
    <s v="26000 - Ministério da Educação"/>
    <x v="22"/>
    <s v="6.616.050,42"/>
    <n v="34913867.840000004"/>
    <n v="32874284.02"/>
    <n v="1268695.8500000001"/>
    <s v=""/>
  </r>
  <r>
    <x v="7"/>
    <s v="26000 - Ministério da Educação"/>
    <x v="22"/>
    <s v="3.998.865,82"/>
    <n v="34448345.979999997"/>
    <n v="35016971.950000003"/>
    <n v="324436.65999999997"/>
    <s v=""/>
  </r>
  <r>
    <x v="9"/>
    <s v="26000 - Ministério da Educação"/>
    <x v="22"/>
    <s v="5.193.975,69"/>
    <n v="29981206.199999999"/>
    <n v="27446717.32"/>
    <n v="2941928.36"/>
    <s v=""/>
  </r>
  <r>
    <x v="8"/>
    <s v="26000 - Ministério da Educação"/>
    <x v="22"/>
    <s v="368.946.735,70"/>
    <n v="30998947.550000001"/>
    <n v="6929315.2400000002"/>
    <n v="28701132.52"/>
    <s v=""/>
  </r>
  <r>
    <x v="2"/>
    <s v="26000 - Ministério da Educação"/>
    <x v="22"/>
    <s v="8.058.637,55"/>
    <n v="35828699.609999999"/>
    <n v="34753195.090000004"/>
    <n v="111953.46"/>
    <s v=""/>
  </r>
  <r>
    <x v="10"/>
    <s v="26000 - Ministério da Educação"/>
    <x v="22"/>
    <s v="6.887.992,07"/>
    <n v="40454523.149999999"/>
    <n v="33382543.739999998"/>
    <n v="1012330.34"/>
    <s v=""/>
  </r>
  <r>
    <x v="3"/>
    <s v="26000 - Ministério da Educação"/>
    <x v="22"/>
    <s v="26.853.190,52"/>
    <n v="35437565.490000002"/>
    <n v="42150568.960000001"/>
    <n v="467131.92"/>
    <s v=""/>
  </r>
  <r>
    <x v="5"/>
    <s v="26000 - Ministério da Educação"/>
    <x v="22"/>
    <s v="6.060.058,66"/>
    <n v="44197978.850000001"/>
    <n v="42677051.630000003"/>
    <n v="277370.2"/>
    <s v=""/>
  </r>
  <r>
    <x v="11"/>
    <s v="26000 - Ministério da Educação"/>
    <x v="23"/>
    <s v="53.877.051,87"/>
    <n v="81870993.680000007"/>
    <n v="73780135.629999995"/>
    <n v="4124719.6"/>
    <s v=""/>
  </r>
  <r>
    <x v="5"/>
    <s v="26000 - Ministério da Educação"/>
    <x v="23"/>
    <s v="74.112.140,83"/>
    <n v="112285397.59"/>
    <n v="112355786.72"/>
    <n v="666360.36"/>
    <s v=""/>
  </r>
  <r>
    <x v="9"/>
    <s v="26000 - Ministério da Educação"/>
    <x v="23"/>
    <s v="7.429.645,20"/>
    <n v="67897545.030000001"/>
    <n v="60582207.43"/>
    <n v="16233515.9"/>
    <s v=""/>
  </r>
  <r>
    <x v="8"/>
    <s v="26000 - Ministério da Educação"/>
    <x v="23"/>
    <s v="184.211.673,10"/>
    <n v="63144181.57"/>
    <n v="10923328.369999999"/>
    <n v="78949478.069999993"/>
    <s v=""/>
  </r>
  <r>
    <x v="6"/>
    <s v="26000 - Ministério da Educação"/>
    <x v="23"/>
    <s v="116.821.696,18"/>
    <n v="70182037.5"/>
    <n v="70000246.829999998"/>
    <n v="6349380.5599999996"/>
    <s v=""/>
  </r>
  <r>
    <x v="3"/>
    <s v="26000 - Ministério da Educação"/>
    <x v="23"/>
    <s v="95.521.682,52"/>
    <n v="73426354.390000001"/>
    <n v="93906584.530000001"/>
    <n v="2666278.37"/>
    <s v=""/>
  </r>
  <r>
    <x v="4"/>
    <s v="26000 - Ministério da Educação"/>
    <x v="23"/>
    <s v="93.478.264,07"/>
    <n v="110629309.92"/>
    <n v="89871813.170000002"/>
    <n v="1358457.79"/>
    <s v=""/>
  </r>
  <r>
    <x v="2"/>
    <s v="26000 - Ministério da Educação"/>
    <x v="23"/>
    <s v="75.942.439,25"/>
    <n v="80574919.829999998"/>
    <n v="75912142.640000001"/>
    <n v="792155.95"/>
    <s v=""/>
  </r>
  <r>
    <x v="0"/>
    <s v="26000 - Ministério da Educação"/>
    <x v="23"/>
    <s v="100.857.319,51"/>
    <n v="71201214.409999996"/>
    <n v="69858073.799999997"/>
    <n v="6266465.8499999996"/>
    <s v=""/>
  </r>
  <r>
    <x v="7"/>
    <s v="26000 - Ministério da Educação"/>
    <x v="23"/>
    <s v="56.020.625,36"/>
    <n v="73407842.019999996"/>
    <n v="74692380.230000004"/>
    <n v="1109191.3600000001"/>
    <s v=""/>
  </r>
  <r>
    <x v="10"/>
    <s v="26000 - Ministério da Educação"/>
    <x v="23"/>
    <s v="99.019.429,49"/>
    <n v="92431555.040000007"/>
    <n v="79484309.769999996"/>
    <n v="2518478.48"/>
    <s v=""/>
  </r>
  <r>
    <x v="1"/>
    <s v="26000 - Ministério da Educação"/>
    <x v="23"/>
    <s v="53.338.927,22"/>
    <n v="74480846.900000006"/>
    <n v="72314800.900000006"/>
    <n v="2139910.92"/>
    <s v=""/>
  </r>
  <r>
    <x v="4"/>
    <s v="26000 - Ministério da Educação"/>
    <x v="24"/>
    <s v="- 1.996.002,95"/>
    <n v="43148156.159999996"/>
    <n v="37607783.829999998"/>
    <n v="337909.65"/>
    <s v=""/>
  </r>
  <r>
    <x v="9"/>
    <s v="26000 - Ministério da Educação"/>
    <x v="24"/>
    <s v="2.029.680,15"/>
    <n v="22663157.010000002"/>
    <n v="20325336.940000001"/>
    <n v="13660994.720000001"/>
    <s v=""/>
  </r>
  <r>
    <x v="8"/>
    <s v="26000 - Ministério da Educação"/>
    <x v="24"/>
    <s v="302.029.472,23"/>
    <n v="22712100.739999998"/>
    <n v="5083827.34"/>
    <n v="27317710.890000001"/>
    <s v=""/>
  </r>
  <r>
    <x v="10"/>
    <s v="26000 - Ministério da Educação"/>
    <x v="24"/>
    <s v="3.012.043,14"/>
    <n v="36416090.170000002"/>
    <n v="27781336.949999999"/>
    <n v="3307650.27"/>
    <s v=""/>
  </r>
  <r>
    <x v="11"/>
    <s v="26000 - Ministério da Educação"/>
    <x v="24"/>
    <s v="8.995.217,19"/>
    <n v="28788629.809999999"/>
    <n v="27464834.940000001"/>
    <n v="5337794.3"/>
    <s v=""/>
  </r>
  <r>
    <x v="0"/>
    <s v="26000 - Ministério da Educação"/>
    <x v="24"/>
    <s v="23.735.338,75"/>
    <n v="25691449.039999999"/>
    <n v="25958893.07"/>
    <n v="7844782.96"/>
    <s v=""/>
  </r>
  <r>
    <x v="6"/>
    <s v="26000 - Ministério da Educação"/>
    <x v="24"/>
    <s v="6.993.168,67"/>
    <n v="25416447.390000001"/>
    <n v="23971672.59"/>
    <n v="9996651.3499999996"/>
    <s v=""/>
  </r>
  <r>
    <x v="7"/>
    <s v="26000 - Ministério da Educação"/>
    <x v="24"/>
    <s v="9.424.995,86"/>
    <n v="29191894.469999999"/>
    <n v="28661219.760000002"/>
    <n v="395200.3"/>
    <s v=""/>
  </r>
  <r>
    <x v="2"/>
    <s v="26000 - Ministério da Educação"/>
    <x v="24"/>
    <s v="6.030.031,21"/>
    <n v="29954981.780000001"/>
    <n v="29256987.18"/>
    <n v="673720.86"/>
    <s v=""/>
  </r>
  <r>
    <x v="5"/>
    <s v="26000 - Ministério da Educação"/>
    <x v="24"/>
    <s v="17.167.864,47"/>
    <n v="40122463.359999999"/>
    <n v="40593275.920000002"/>
    <n v="540563.92000000004"/>
    <s v=""/>
  </r>
  <r>
    <x v="1"/>
    <s v="26000 - Ministério da Educação"/>
    <x v="24"/>
    <s v="5.459.065,63"/>
    <n v="27932026.66"/>
    <n v="29367580.550000001"/>
    <n v="673646.8"/>
    <s v=""/>
  </r>
  <r>
    <x v="3"/>
    <s v="26000 - Ministério da Educação"/>
    <x v="24"/>
    <s v="11.324.086,43"/>
    <n v="29631090.609999999"/>
    <n v="34382889.270000003"/>
    <n v="5199730.1100000003"/>
    <s v=""/>
  </r>
  <r>
    <x v="6"/>
    <s v="26000 - Ministério da Educação"/>
    <x v="25"/>
    <s v="25.284.799,53"/>
    <n v="25611986.68"/>
    <n v="24076881.02"/>
    <n v="4214037.1500000004"/>
    <s v=""/>
  </r>
  <r>
    <x v="8"/>
    <s v="26000 - Ministério da Educação"/>
    <x v="25"/>
    <s v="171.446.738,40"/>
    <n v="17186678.920000002"/>
    <n v="4162755.12"/>
    <n v="25883390.32"/>
    <s v=""/>
  </r>
  <r>
    <x v="1"/>
    <s v="26000 - Ministério da Educação"/>
    <x v="25"/>
    <s v="1.570.246,08"/>
    <n v="25904724.079999998"/>
    <n v="21023883.109999999"/>
    <n v="37663.18"/>
    <s v=""/>
  </r>
  <r>
    <x v="4"/>
    <s v="26000 - Ministério da Educação"/>
    <x v="25"/>
    <s v="20.496.992,09"/>
    <n v="31616415.879999999"/>
    <n v="39774538.780000001"/>
    <n v="96798.28"/>
    <s v=""/>
  </r>
  <r>
    <x v="0"/>
    <s v="26000 - Ministério da Educação"/>
    <x v="25"/>
    <s v="20.942.313,73"/>
    <n v="31717066.57"/>
    <n v="21647669.82"/>
    <n v="2819888.52"/>
    <s v=""/>
  </r>
  <r>
    <x v="2"/>
    <s v="26000 - Ministério da Educação"/>
    <x v="25"/>
    <s v="34.320.370,10"/>
    <n v="33732094.880000003"/>
    <n v="21511894.809999999"/>
    <n v="991443.18"/>
    <s v=""/>
  </r>
  <r>
    <x v="5"/>
    <s v="26000 - Ministério da Educação"/>
    <x v="25"/>
    <s v="18.886.808,52"/>
    <n v="35853424.759999998"/>
    <n v="35859285.039999999"/>
    <n v="453542.24"/>
    <s v=""/>
  </r>
  <r>
    <x v="7"/>
    <s v="26000 - Ministério da Educação"/>
    <x v="25"/>
    <s v="8.717.653,49"/>
    <n v="24426467.329999998"/>
    <n v="28481675.48"/>
    <n v="1362991.2"/>
    <s v=""/>
  </r>
  <r>
    <x v="10"/>
    <s v="26000 - Ministério da Educação"/>
    <x v="25"/>
    <s v="13.128.993,72"/>
    <n v="29044589.460000001"/>
    <n v="28978572.66"/>
    <n v="769179.81"/>
    <s v=""/>
  </r>
  <r>
    <x v="11"/>
    <s v="26000 - Ministério da Educação"/>
    <x v="25"/>
    <s v="10.635.144,78"/>
    <n v="26950130.199999999"/>
    <n v="30417231.579999998"/>
    <n v="3355280.9"/>
    <s v=""/>
  </r>
  <r>
    <x v="3"/>
    <s v="26000 - Ministério da Educação"/>
    <x v="25"/>
    <s v="17.222.043,25"/>
    <n v="28728651.440000001"/>
    <n v="29830522.77"/>
    <n v="2725198.83"/>
    <s v=""/>
  </r>
  <r>
    <x v="9"/>
    <s v="26000 - Ministério da Educação"/>
    <x v="25"/>
    <s v="5.560.990,85"/>
    <n v="19318322.170000002"/>
    <n v="17158907.16"/>
    <n v="5043187"/>
    <s v=""/>
  </r>
  <r>
    <x v="6"/>
    <s v="26000 - Ministério da Educação"/>
    <x v="26"/>
    <s v="1.492.673.010,54"/>
    <n v="5196449528.7700005"/>
    <n v="5283524791.6099997"/>
    <n v="310396386.13"/>
    <s v=""/>
  </r>
  <r>
    <x v="9"/>
    <s v="26000 - Ministério da Educação"/>
    <x v="26"/>
    <s v="29.061.130.473,95"/>
    <n v="5111092111.8299999"/>
    <n v="5305671157.9399996"/>
    <n v="480326691.52999997"/>
    <s v=""/>
  </r>
  <r>
    <x v="8"/>
    <s v="26000 - Ministério da Educação"/>
    <x v="26"/>
    <s v="45.771.004.604,41"/>
    <n v="2656479843.96"/>
    <n v="2311004721.6399999"/>
    <n v="9196508331.7999992"/>
    <s v=""/>
  </r>
  <r>
    <x v="5"/>
    <s v="26000 - Ministério da Educação"/>
    <x v="26"/>
    <s v="3.498.270.790,00"/>
    <n v="7514420789.8800001"/>
    <n v="7503265185.6000004"/>
    <n v="118480465.66"/>
    <s v=""/>
  </r>
  <r>
    <x v="11"/>
    <s v="26000 - Ministério da Educação"/>
    <x v="26"/>
    <s v="1.377.780.431,09"/>
    <n v="6762685163.04"/>
    <n v="6747237334.1199999"/>
    <n v="129102789.78"/>
    <s v=""/>
  </r>
  <r>
    <x v="2"/>
    <s v="26000 - Ministério da Educação"/>
    <x v="26"/>
    <s v="369.247.364,79"/>
    <n v="6593853537.0100002"/>
    <n v="6548263069.1999998"/>
    <n v="85480949.260000005"/>
    <s v=""/>
  </r>
  <r>
    <x v="10"/>
    <s v="26000 - Ministério da Educação"/>
    <x v="26"/>
    <s v="3.634.258.718,50"/>
    <n v="8441877290.2799997"/>
    <n v="8421908664.4399996"/>
    <n v="152582007.13"/>
    <s v=""/>
  </r>
  <r>
    <x v="0"/>
    <s v="26000 - Ministério da Educação"/>
    <x v="26"/>
    <s v="2.541.897.702,98"/>
    <n v="7112326410.7799997"/>
    <n v="7154640216.8500004"/>
    <n v="96075398.680000007"/>
    <s v=""/>
  </r>
  <r>
    <x v="7"/>
    <s v="26000 - Ministério da Educação"/>
    <x v="26"/>
    <s v="3.624.691.839,19"/>
    <n v="7815537749.2399998"/>
    <n v="7846544113.3500004"/>
    <n v="29123175.140000001"/>
    <s v=""/>
  </r>
  <r>
    <x v="1"/>
    <s v="26000 - Ministério da Educação"/>
    <x v="26"/>
    <s v="1.893.487.797,79"/>
    <n v="6835111718.3199997"/>
    <n v="6808532969.6800003"/>
    <n v="34235783.200000003"/>
    <s v=""/>
  </r>
  <r>
    <x v="3"/>
    <s v="26000 - Ministério da Educação"/>
    <x v="26"/>
    <s v="760.598.777,17"/>
    <n v="6921353228.79"/>
    <n v="6951579526.8100004"/>
    <n v="101399043.43000001"/>
    <s v=""/>
  </r>
  <r>
    <x v="4"/>
    <s v="26000 - Ministério da Educação"/>
    <x v="26"/>
    <s v="563.876.857,60"/>
    <n v="6825200657.4899998"/>
    <n v="6839736517.2700005"/>
    <n v="64406278.130000003"/>
    <s v=""/>
  </r>
  <r>
    <x v="3"/>
    <s v="26000 - Ministério da Educação"/>
    <x v="27"/>
    <s v="204.804.284,58"/>
    <n v="170973045.36000001"/>
    <n v="170927121.41"/>
    <n v="893361.01"/>
    <s v=""/>
  </r>
  <r>
    <x v="1"/>
    <s v="26000 - Ministério da Educação"/>
    <x v="27"/>
    <s v="156.887.478,32"/>
    <n v="177564668.40000001"/>
    <n v="175795829"/>
    <n v="1126529.68"/>
    <s v=""/>
  </r>
  <r>
    <x v="7"/>
    <s v="26000 - Ministério da Educação"/>
    <x v="27"/>
    <s v="171.491.344,40"/>
    <n v="170818859.63999999"/>
    <n v="164880485.63999999"/>
    <n v="1295845.06"/>
    <s v=""/>
  </r>
  <r>
    <x v="6"/>
    <s v="26000 - Ministério da Educação"/>
    <x v="27"/>
    <s v="166.872.279,09"/>
    <n v="156896224.49000001"/>
    <n v="145278856.72"/>
    <n v="12518624.039999999"/>
    <s v=""/>
  </r>
  <r>
    <x v="4"/>
    <s v="26000 - Ministério da Educação"/>
    <x v="27"/>
    <s v="256.071.556,34"/>
    <n v="248570914.97"/>
    <n v="174807622.5"/>
    <n v="2099593.92"/>
    <s v=""/>
  </r>
  <r>
    <x v="8"/>
    <s v="26000 - Ministério da Educação"/>
    <x v="27"/>
    <s v="155.467.587,14"/>
    <n v="142053966.97"/>
    <n v="16660932.460000001"/>
    <n v="174235108.65000001"/>
    <s v=""/>
  </r>
  <r>
    <x v="0"/>
    <s v="26000 - Ministério da Educação"/>
    <x v="27"/>
    <s v="163.960.268,90"/>
    <n v="155173408.97"/>
    <n v="160525146.02000001"/>
    <n v="6476903.3799999999"/>
    <s v=""/>
  </r>
  <r>
    <x v="2"/>
    <s v="26000 - Ministério da Educação"/>
    <x v="27"/>
    <s v="175.690.434,62"/>
    <n v="178211506.34"/>
    <n v="180209313.97"/>
    <n v="3209170.43"/>
    <s v=""/>
  </r>
  <r>
    <x v="11"/>
    <s v="26000 - Ministério da Educação"/>
    <x v="27"/>
    <s v="175.480.893,13"/>
    <n v="172523506.59999999"/>
    <n v="160106425.03999999"/>
    <n v="2275882.21"/>
    <s v=""/>
  </r>
  <r>
    <x v="5"/>
    <s v="26000 - Ministério da Educação"/>
    <x v="27"/>
    <s v="242.072.576,45"/>
    <n v="210296816.66999999"/>
    <n v="237671228.00999999"/>
    <n v="13077554.92"/>
    <s v=""/>
  </r>
  <r>
    <x v="10"/>
    <s v="26000 - Ministério da Educação"/>
    <x v="27"/>
    <s v="163.309.224,31"/>
    <n v="166890088.02000001"/>
    <n v="159962587.41999999"/>
    <n v="1880478.35"/>
    <s v=""/>
  </r>
  <r>
    <x v="9"/>
    <s v="26000 - Ministério da Educação"/>
    <x v="27"/>
    <s v="146.375.116,10"/>
    <n v="150223491.80000001"/>
    <n v="133990476.70999999"/>
    <n v="35819332.030000001"/>
    <s v=""/>
  </r>
  <r>
    <x v="4"/>
    <s v="26000 - Ministério da Educação"/>
    <x v="28"/>
    <s v="2.582.968,23"/>
    <n v="51818636.390000001"/>
    <n v="41358202.909999996"/>
    <n v="274168.95"/>
    <s v=""/>
  </r>
  <r>
    <x v="1"/>
    <s v="26000 - Ministério da Educação"/>
    <x v="28"/>
    <s v="11.770.318,16"/>
    <n v="32856096.23"/>
    <n v="32091591.59"/>
    <n v="1098790.04"/>
    <s v=""/>
  </r>
  <r>
    <x v="8"/>
    <s v="26000 - Ministério da Educação"/>
    <x v="28"/>
    <s v="292.049.139,10"/>
    <n v="27920992.52"/>
    <n v="6110092.5999999996"/>
    <n v="34553387.060000002"/>
    <s v=""/>
  </r>
  <r>
    <x v="3"/>
    <s v="26000 - Ministério da Educação"/>
    <x v="28"/>
    <s v="16.839.344,61"/>
    <n v="32668453.809999999"/>
    <n v="38109748.950000003"/>
    <n v="916566.27"/>
    <s v=""/>
  </r>
  <r>
    <x v="10"/>
    <s v="26000 - Ministério da Educação"/>
    <x v="28"/>
    <s v="10.602.280,94"/>
    <n v="37017941.82"/>
    <n v="34661895.350000001"/>
    <n v="1050314.1599999999"/>
    <s v=""/>
  </r>
  <r>
    <x v="2"/>
    <s v="26000 - Ministério da Educação"/>
    <x v="28"/>
    <s v="80.028.587,75"/>
    <n v="35817651.859999999"/>
    <n v="35968482.399999999"/>
    <n v="552005.44999999995"/>
    <s v=""/>
  </r>
  <r>
    <x v="9"/>
    <s v="26000 - Ministério da Educação"/>
    <x v="28"/>
    <s v="3.197.739,54"/>
    <n v="28555608.48"/>
    <n v="28469856.260000002"/>
    <n v="3743450.58"/>
    <s v=""/>
  </r>
  <r>
    <x v="5"/>
    <s v="26000 - Ministério da Educação"/>
    <x v="28"/>
    <s v="15.910.494,64"/>
    <n v="45444048.25"/>
    <n v="46927351.219999999"/>
    <n v="903236.08"/>
    <s v=""/>
  </r>
  <r>
    <x v="6"/>
    <s v="26000 - Ministério da Educação"/>
    <x v="28"/>
    <s v="3.978.465,45"/>
    <n v="29768782.280000001"/>
    <n v="29311909.899999999"/>
    <n v="3530212.98"/>
    <s v=""/>
  </r>
  <r>
    <x v="7"/>
    <s v="26000 - Ministério da Educação"/>
    <x v="28"/>
    <s v="7.915.161,84"/>
    <n v="34781798.689999998"/>
    <n v="34170791.600000001"/>
    <n v="1402509.95"/>
    <s v=""/>
  </r>
  <r>
    <x v="11"/>
    <s v="26000 - Ministério da Educação"/>
    <x v="28"/>
    <s v="7.463.639,74"/>
    <n v="34667371.700000003"/>
    <n v="31113236.219999999"/>
    <n v="4738115.8499999996"/>
    <s v=""/>
  </r>
  <r>
    <x v="0"/>
    <s v="26000 - Ministério da Educação"/>
    <x v="28"/>
    <s v="10.484.858,54"/>
    <n v="29828027.350000001"/>
    <n v="29422608.280000001"/>
    <n v="2712052.56"/>
    <s v=""/>
  </r>
  <r>
    <x v="8"/>
    <s v="26000 - Ministério da Educação"/>
    <x v="29"/>
    <s v="409.828.930,35"/>
    <n v="31923399.329999998"/>
    <n v="6842533.2199999997"/>
    <n v="41319324.030000001"/>
    <s v=""/>
  </r>
  <r>
    <x v="6"/>
    <s v="26000 - Ministério da Educação"/>
    <x v="29"/>
    <s v="5.397.157,04"/>
    <n v="34433994.32"/>
    <n v="32860904.68"/>
    <n v="4659460.51"/>
    <s v=""/>
  </r>
  <r>
    <x v="11"/>
    <s v="26000 - Ministério da Educação"/>
    <x v="29"/>
    <s v="12.052.134,50"/>
    <n v="37405868.079999998"/>
    <n v="31818733.609999999"/>
    <n v="1697501.41"/>
    <s v=""/>
  </r>
  <r>
    <x v="7"/>
    <s v="26000 - Ministério da Educação"/>
    <x v="29"/>
    <s v="7.899.411,06"/>
    <n v="37605395.170000002"/>
    <n v="38119496.509999998"/>
    <n v="719298.78"/>
    <s v=""/>
  </r>
  <r>
    <x v="2"/>
    <s v="26000 - Ministério da Educação"/>
    <x v="29"/>
    <s v="3.864.762,08"/>
    <n v="38713938.189999998"/>
    <n v="39537996.43"/>
    <n v="566956.78"/>
    <s v=""/>
  </r>
  <r>
    <x v="0"/>
    <s v="26000 - Ministério da Educação"/>
    <x v="29"/>
    <s v="13.362.961,56"/>
    <n v="35054187.850000001"/>
    <n v="34761452.950000003"/>
    <n v="3005781.02"/>
    <s v=""/>
  </r>
  <r>
    <x v="3"/>
    <s v="26000 - Ministério da Educação"/>
    <x v="29"/>
    <s v="11.175.205,24"/>
    <n v="38446574.210000001"/>
    <n v="51767003.060000002"/>
    <n v="1472585.75"/>
    <s v=""/>
  </r>
  <r>
    <x v="9"/>
    <s v="26000 - Ministério da Educação"/>
    <x v="29"/>
    <s v="5.607.619,25"/>
    <n v="32532011.300000001"/>
    <n v="28610737.010000002"/>
    <n v="10639808.550000001"/>
    <s v=""/>
  </r>
  <r>
    <x v="1"/>
    <s v="26000 - Ministério da Educação"/>
    <x v="29"/>
    <s v="2.922.632,18"/>
    <n v="38766581.789999999"/>
    <n v="38803107.310000002"/>
    <n v="1975332"/>
    <s v=""/>
  </r>
  <r>
    <x v="5"/>
    <s v="26000 - Ministério da Educação"/>
    <x v="29"/>
    <s v="24.710.723,45"/>
    <n v="52999764.840000004"/>
    <n v="48568782.329999998"/>
    <n v="1269704.08"/>
    <s v=""/>
  </r>
  <r>
    <x v="10"/>
    <s v="26000 - Ministério da Educação"/>
    <x v="29"/>
    <s v="4.598.649,24"/>
    <n v="45417717.539999999"/>
    <n v="37943848.57"/>
    <n v="1434854.78"/>
    <s v=""/>
  </r>
  <r>
    <x v="4"/>
    <s v="26000 - Ministério da Educação"/>
    <x v="29"/>
    <s v="11.299.606,42"/>
    <n v="55994471.869999997"/>
    <n v="45874248.219999999"/>
    <n v="502637.43"/>
    <s v=""/>
  </r>
  <r>
    <x v="6"/>
    <s v="26000 - Ministério da Educação"/>
    <x v="30"/>
    <s v="6.959.047,98"/>
    <n v="55880929.75"/>
    <n v="48257268.759999998"/>
    <n v="7494813.7199999997"/>
    <s v=""/>
  </r>
  <r>
    <x v="9"/>
    <s v="26000 - Ministério da Educação"/>
    <x v="30"/>
    <s v="3.889.594,81"/>
    <n v="52354295.299999997"/>
    <n v="57304604.810000002"/>
    <n v="4910931.18"/>
    <s v=""/>
  </r>
  <r>
    <x v="11"/>
    <s v="26000 - Ministério da Educação"/>
    <x v="30"/>
    <s v="29.781.204,39"/>
    <n v="72689007.609999999"/>
    <n v="59772675.219999999"/>
    <n v="9633135.1099999994"/>
    <s v=""/>
  </r>
  <r>
    <x v="10"/>
    <s v="26000 - Ministério da Educação"/>
    <x v="30"/>
    <s v="32.677.188,44"/>
    <n v="72143387.810000002"/>
    <n v="69269286.189999998"/>
    <n v="3172012.45"/>
    <s v=""/>
  </r>
  <r>
    <x v="0"/>
    <s v="26000 - Ministério da Educação"/>
    <x v="30"/>
    <s v="35.131.030,69"/>
    <n v="56454301.579999998"/>
    <n v="55087434.259999998"/>
    <n v="3776231.99"/>
    <s v=""/>
  </r>
  <r>
    <x v="7"/>
    <s v="26000 - Ministério da Educação"/>
    <x v="30"/>
    <s v="3.791.274,87"/>
    <n v="61926850.560000002"/>
    <n v="61798622.130000003"/>
    <n v="793377.73"/>
    <s v=""/>
  </r>
  <r>
    <x v="2"/>
    <s v="26000 - Ministério da Educação"/>
    <x v="30"/>
    <s v="8.363.478,78"/>
    <n v="62386069.659999996"/>
    <n v="62530697.310000002"/>
    <n v="1133591.27"/>
    <s v=""/>
  </r>
  <r>
    <x v="5"/>
    <s v="26000 - Ministério da Educação"/>
    <x v="30"/>
    <s v="26.840.120,04"/>
    <n v="94661493.890000001"/>
    <n v="87614435.989999995"/>
    <n v="3452855.21"/>
    <s v=""/>
  </r>
  <r>
    <x v="3"/>
    <s v="26000 - Ministério da Educação"/>
    <x v="30"/>
    <s v="22.513.824,44"/>
    <n v="59856132.609999999"/>
    <n v="72755080.189999998"/>
    <n v="5040078.45"/>
    <s v=""/>
  </r>
  <r>
    <x v="1"/>
    <s v="26000 - Ministério da Educação"/>
    <x v="30"/>
    <s v="- 9.209.625,88"/>
    <n v="63372704.829999998"/>
    <n v="62117525.32"/>
    <n v="6722651.1399999997"/>
    <s v=""/>
  </r>
  <r>
    <x v="4"/>
    <s v="26000 - Ministério da Educação"/>
    <x v="30"/>
    <s v="2.787.591,81"/>
    <n v="91915387.469999999"/>
    <n v="72502822.620000005"/>
    <n v="927736.52"/>
    <s v=""/>
  </r>
  <r>
    <x v="8"/>
    <s v="26000 - Ministério da Educação"/>
    <x v="30"/>
    <s v="660.006.163,93"/>
    <n v="50551207.789999999"/>
    <n v="10721504.369999999"/>
    <n v="59229656.030000001"/>
    <s v=""/>
  </r>
  <r>
    <x v="2"/>
    <s v="26000 - Ministério da Educação"/>
    <x v="31"/>
    <s v="4.627.064,71"/>
    <n v="59353464.100000001"/>
    <n v="58976747.810000002"/>
    <n v="1730285.93"/>
    <s v=""/>
  </r>
  <r>
    <x v="6"/>
    <s v="26000 - Ministério da Educação"/>
    <x v="31"/>
    <s v="6.731.022,56"/>
    <n v="51027708.25"/>
    <n v="50227052.539999999"/>
    <n v="5968961.29"/>
    <s v=""/>
  </r>
  <r>
    <x v="0"/>
    <s v="26000 - Ministério da Educação"/>
    <x v="31"/>
    <s v="20.097.827,66"/>
    <n v="52761125.030000001"/>
    <n v="51942066.329999998"/>
    <n v="4101214.29"/>
    <s v=""/>
  </r>
  <r>
    <x v="10"/>
    <s v="26000 - Ministério da Educação"/>
    <x v="31"/>
    <s v="11.310.732,58"/>
    <n v="64160311.460000001"/>
    <n v="56015457.140000001"/>
    <n v="1839706.72"/>
    <s v=""/>
  </r>
  <r>
    <x v="9"/>
    <s v="26000 - Ministério da Educação"/>
    <x v="31"/>
    <s v="3.014.387,32"/>
    <n v="49204122.159999996"/>
    <n v="43320396.259999998"/>
    <n v="12331857.960000001"/>
    <s v=""/>
  </r>
  <r>
    <x v="4"/>
    <s v="26000 - Ministério da Educação"/>
    <x v="31"/>
    <s v="45.676.620,15"/>
    <n v="88681276.459999993"/>
    <n v="69986939"/>
    <n v="1373252.4"/>
    <s v=""/>
  </r>
  <r>
    <x v="3"/>
    <s v="26000 - Ministério da Educação"/>
    <x v="31"/>
    <s v="26.636.656,23"/>
    <n v="55894128.340000004"/>
    <n v="65128376.079999998"/>
    <n v="1439973.94"/>
    <s v=""/>
  </r>
  <r>
    <x v="11"/>
    <s v="26000 - Ministério da Educação"/>
    <x v="31"/>
    <s v="13.877.172,65"/>
    <n v="57255861.729999997"/>
    <n v="54270655.630000003"/>
    <n v="2593647.61"/>
    <s v=""/>
  </r>
  <r>
    <x v="5"/>
    <s v="26000 - Ministério da Educação"/>
    <x v="31"/>
    <s v="43.231.315,81"/>
    <n v="83427259.099999994"/>
    <n v="76356988.900000006"/>
    <n v="2287228.89"/>
    <s v=""/>
  </r>
  <r>
    <x v="1"/>
    <s v="26000 - Ministério da Educação"/>
    <x v="31"/>
    <s v="15.487.789,15"/>
    <n v="58770121.090000004"/>
    <n v="57667195.340000004"/>
    <n v="1637479.34"/>
    <s v=""/>
  </r>
  <r>
    <x v="7"/>
    <s v="26000 - Ministério da Educação"/>
    <x v="31"/>
    <s v="115.749.114,46"/>
    <n v="58372483.359999999"/>
    <n v="57134158.060000002"/>
    <n v="2342318.38"/>
    <s v=""/>
  </r>
  <r>
    <x v="8"/>
    <s v="26000 - Ministério da Educação"/>
    <x v="31"/>
    <s v="465.484.205,03"/>
    <n v="49091699.380000003"/>
    <n v="10141524.01"/>
    <n v="68812503.5"/>
    <s v=""/>
  </r>
  <r>
    <x v="0"/>
    <s v="26000 - Ministério da Educação"/>
    <x v="32"/>
    <s v="15.970.144,91"/>
    <n v="35503099.859999999"/>
    <n v="33358681.57"/>
    <n v="3280290.16"/>
    <s v=""/>
  </r>
  <r>
    <x v="2"/>
    <s v="26000 - Ministério da Educação"/>
    <x v="32"/>
    <s v="8.397.123,07"/>
    <n v="39437068.479999997"/>
    <n v="38059585.07"/>
    <n v="580164.23"/>
    <s v=""/>
  </r>
  <r>
    <x v="10"/>
    <s v="26000 - Ministério da Educação"/>
    <x v="32"/>
    <s v="6.718.951,47"/>
    <n v="40115486.799999997"/>
    <n v="37612884.68"/>
    <n v="1991293.95"/>
    <s v=""/>
  </r>
  <r>
    <x v="8"/>
    <s v="26000 - Ministério da Educação"/>
    <x v="32"/>
    <s v="397.249.706,22"/>
    <n v="33243394.559999999"/>
    <n v="9736718.9499999993"/>
    <n v="42733230.119999997"/>
    <s v=""/>
  </r>
  <r>
    <x v="4"/>
    <s v="26000 - Ministério da Educação"/>
    <x v="32"/>
    <s v="- 3.223.496,98"/>
    <n v="55767612.859999999"/>
    <n v="45910942.25"/>
    <n v="914896.25"/>
    <s v=""/>
  </r>
  <r>
    <x v="9"/>
    <s v="26000 - Ministério da Educação"/>
    <x v="32"/>
    <s v="4.131.514,27"/>
    <n v="32921301.649999999"/>
    <n v="32448502.120000001"/>
    <n v="4579144.04"/>
    <s v=""/>
  </r>
  <r>
    <x v="5"/>
    <s v="26000 - Ministério da Educação"/>
    <x v="32"/>
    <s v="14.801.891,20"/>
    <n v="57861243.640000001"/>
    <n v="56659048.149999999"/>
    <n v="1534321.47"/>
    <s v=""/>
  </r>
  <r>
    <x v="6"/>
    <s v="26000 - Ministério da Educação"/>
    <x v="32"/>
    <s v="6.344.750,84"/>
    <n v="34889496.649999999"/>
    <n v="34048335.090000004"/>
    <n v="6814590.2599999998"/>
    <s v=""/>
  </r>
  <r>
    <x v="11"/>
    <s v="26000 - Ministério da Educação"/>
    <x v="32"/>
    <s v="21.536.222,60"/>
    <n v="38249822.310000002"/>
    <n v="36499517.920000002"/>
    <n v="5375776.1200000001"/>
    <s v=""/>
  </r>
  <r>
    <x v="1"/>
    <s v="26000 - Ministério da Educação"/>
    <x v="32"/>
    <s v="25.886.768,07"/>
    <n v="38393615.869999997"/>
    <n v="44031829.200000003"/>
    <n v="979582.96"/>
    <s v=""/>
  </r>
  <r>
    <x v="7"/>
    <s v="26000 - Ministério da Educação"/>
    <x v="32"/>
    <s v="10.884.453,95"/>
    <n v="38555374.18"/>
    <n v="38331483.869999997"/>
    <n v="760062.23"/>
    <s v=""/>
  </r>
  <r>
    <x v="3"/>
    <s v="26000 - Ministério da Educação"/>
    <x v="32"/>
    <s v="10.650.547,64"/>
    <n v="36963438.770000003"/>
    <n v="34420374.579999998"/>
    <n v="1798996.92"/>
    <s v=""/>
  </r>
  <r>
    <x v="4"/>
    <s v="26000 - Ministério da Educação"/>
    <x v="33"/>
    <s v="553.617,37"/>
    <n v="37853606.909999996"/>
    <n v="33226100.82"/>
    <n v="435095.51"/>
    <s v=""/>
  </r>
  <r>
    <x v="9"/>
    <s v="26000 - Ministério da Educação"/>
    <x v="33"/>
    <s v="134.639.291,22"/>
    <n v="21690790.129999999"/>
    <n v="21581623.859999999"/>
    <n v="6079822.96"/>
    <s v=""/>
  </r>
  <r>
    <x v="8"/>
    <s v="26000 - Ministério da Educação"/>
    <x v="33"/>
    <s v="23.352.786,52"/>
    <n v="20754807.140000001"/>
    <n v="7117056.3600000003"/>
    <n v="22424398.100000001"/>
    <s v=""/>
  </r>
  <r>
    <x v="5"/>
    <s v="26000 - Ministério da Educação"/>
    <x v="33"/>
    <s v="17.499.177,00"/>
    <n v="33113766.489999998"/>
    <n v="36986719.460000001"/>
    <n v="4111031.22"/>
    <s v=""/>
  </r>
  <r>
    <x v="11"/>
    <s v="26000 - Ministério da Educação"/>
    <x v="33"/>
    <s v="11.075.750,76"/>
    <n v="25294640.5"/>
    <n v="24478102.07"/>
    <n v="2078849.51"/>
    <s v=""/>
  </r>
  <r>
    <x v="6"/>
    <s v="26000 - Ministério da Educação"/>
    <x v="33"/>
    <s v="2.992.945,59"/>
    <n v="22462794.510000002"/>
    <n v="22479485.329999998"/>
    <n v="4484212.4000000004"/>
    <s v=""/>
  </r>
  <r>
    <x v="0"/>
    <s v="26000 - Ministério da Educação"/>
    <x v="33"/>
    <s v="23.030.245,90"/>
    <n v="23897232.59"/>
    <n v="22681022.48"/>
    <n v="3014218.21"/>
    <s v=""/>
  </r>
  <r>
    <x v="1"/>
    <s v="26000 - Ministério da Educação"/>
    <x v="33"/>
    <s v="116.824.154,13"/>
    <n v="25543638.469999999"/>
    <n v="25498526.030000001"/>
    <n v="1547093.14"/>
    <s v=""/>
  </r>
  <r>
    <x v="7"/>
    <s v="26000 - Ministério da Educação"/>
    <x v="33"/>
    <s v="2.203.427,64"/>
    <n v="25346352.760000002"/>
    <n v="25597682.260000002"/>
    <n v="798390.99"/>
    <s v=""/>
  </r>
  <r>
    <x v="10"/>
    <s v="26000 - Ministério da Educação"/>
    <x v="33"/>
    <s v="3.313.477,30"/>
    <n v="31522634.52"/>
    <n v="26584255.629999999"/>
    <n v="1848586.26"/>
    <s v=""/>
  </r>
  <r>
    <x v="2"/>
    <s v="26000 - Ministério da Educação"/>
    <x v="33"/>
    <s v="1.620.164,27"/>
    <n v="26152700.600000001"/>
    <n v="26784727.199999999"/>
    <n v="1041135.57"/>
    <s v=""/>
  </r>
  <r>
    <x v="3"/>
    <s v="26000 - Ministério da Educação"/>
    <x v="33"/>
    <s v="14.662.265,12"/>
    <n v="26913639.539999999"/>
    <n v="31246738.329999998"/>
    <n v="6402447.0499999998"/>
    <s v=""/>
  </r>
  <r>
    <x v="9"/>
    <s v="26000 - Ministério da Educação"/>
    <x v="34"/>
    <s v="2.110.392,40"/>
    <n v="40256592.340000004"/>
    <n v="35225166"/>
    <n v="8932239.2400000002"/>
    <s v=""/>
  </r>
  <r>
    <x v="2"/>
    <s v="26000 - Ministério da Educação"/>
    <x v="34"/>
    <s v="1.981.150,94"/>
    <n v="47585035.460000001"/>
    <n v="53250168.590000004"/>
    <n v="1162291.1000000001"/>
    <s v=""/>
  </r>
  <r>
    <x v="6"/>
    <s v="26000 - Ministério da Educação"/>
    <x v="34"/>
    <s v="3.610.247,88"/>
    <n v="42541972.270000003"/>
    <n v="40594076.810000002"/>
    <n v="7371516.6200000001"/>
    <s v=""/>
  </r>
  <r>
    <x v="3"/>
    <s v="26000 - Ministério da Educação"/>
    <x v="34"/>
    <s v="536.377,85"/>
    <n v="46560096.670000002"/>
    <n v="56840924.090000004"/>
    <n v="1856916.08"/>
    <s v=""/>
  </r>
  <r>
    <x v="0"/>
    <s v="26000 - Ministério da Educação"/>
    <x v="34"/>
    <s v="20.901.643,14"/>
    <n v="42658848.460000001"/>
    <n v="41863798.619999997"/>
    <n v="2795664.86"/>
    <s v=""/>
  </r>
  <r>
    <x v="4"/>
    <s v="26000 - Ministério da Educação"/>
    <x v="34"/>
    <s v="7.292.412,10"/>
    <n v="73393142.239999995"/>
    <n v="53561099.270000003"/>
    <n v="1013922.61"/>
    <s v=""/>
  </r>
  <r>
    <x v="5"/>
    <s v="26000 - Ministério da Educação"/>
    <x v="34"/>
    <s v="25.007.888,01"/>
    <n v="68656066.310000002"/>
    <n v="69667187.189999998"/>
    <n v="1262673.27"/>
    <s v=""/>
  </r>
  <r>
    <x v="11"/>
    <s v="26000 - Ministério da Educação"/>
    <x v="34"/>
    <s v="32.060.137,62"/>
    <n v="47600987.240000002"/>
    <n v="50402182.25"/>
    <n v="3667034.83"/>
    <s v=""/>
  </r>
  <r>
    <x v="10"/>
    <s v="26000 - Ministério da Educação"/>
    <x v="34"/>
    <s v="10.608.153,95"/>
    <n v="54778911.939999998"/>
    <n v="44124072.759999998"/>
    <n v="2370151.81"/>
    <s v=""/>
  </r>
  <r>
    <x v="7"/>
    <s v="26000 - Ministério da Educação"/>
    <x v="34"/>
    <s v="8.746.692,05"/>
    <n v="48408907.170000002"/>
    <n v="47086839.509999998"/>
    <n v="2240420.7999999998"/>
    <s v=""/>
  </r>
  <r>
    <x v="1"/>
    <s v="26000 - Ministério da Educação"/>
    <x v="34"/>
    <s v="15.581.181,27"/>
    <n v="51191206.469999999"/>
    <n v="46721426.990000002"/>
    <n v="1737258.8"/>
    <s v=""/>
  </r>
  <r>
    <x v="8"/>
    <s v="26000 - Ministério da Educação"/>
    <x v="34"/>
    <s v="512.023.136,90"/>
    <n v="40154150.369999997"/>
    <n v="8604470.5399999991"/>
    <n v="58451533.450000003"/>
    <s v=""/>
  </r>
  <r>
    <x v="9"/>
    <s v="26000 - Ministério da Educação"/>
    <x v="35"/>
    <s v="10.307.059,18"/>
    <n v="36667354.289999999"/>
    <n v="36855755.969999999"/>
    <n v="4986975.67"/>
    <s v=""/>
  </r>
  <r>
    <x v="10"/>
    <s v="26000 - Ministério da Educação"/>
    <x v="35"/>
    <s v="23.321.323,16"/>
    <n v="49049688.640000001"/>
    <n v="42795888.039999999"/>
    <n v="2049621.26"/>
    <s v=""/>
  </r>
  <r>
    <x v="0"/>
    <s v="26000 - Ministério da Educação"/>
    <x v="35"/>
    <s v="13.787.693,35"/>
    <n v="38985402.920000002"/>
    <n v="38687217.109999999"/>
    <n v="4270767.72"/>
    <s v=""/>
  </r>
  <r>
    <x v="11"/>
    <s v="26000 - Ministério da Educação"/>
    <x v="35"/>
    <s v="9.120.114,98"/>
    <n v="42821524.700000003"/>
    <n v="39190996.460000001"/>
    <n v="3503554.32"/>
    <s v=""/>
  </r>
  <r>
    <x v="1"/>
    <s v="26000 - Ministério da Educação"/>
    <x v="35"/>
    <s v="982.028,58"/>
    <n v="42476054.090000004"/>
    <n v="41231376.350000001"/>
    <n v="1665579.3"/>
    <s v=""/>
  </r>
  <r>
    <x v="3"/>
    <s v="26000 - Ministério da Educação"/>
    <x v="35"/>
    <s v="8.755.054,09"/>
    <n v="41000427.740000002"/>
    <n v="49194181.530000001"/>
    <n v="2306094.5099999998"/>
    <s v=""/>
  </r>
  <r>
    <x v="5"/>
    <s v="26000 - Ministério da Educação"/>
    <x v="35"/>
    <s v="8.949.350,10"/>
    <n v="55955661.640000001"/>
    <n v="59165998.049999997"/>
    <n v="1165553.53"/>
    <s v=""/>
  </r>
  <r>
    <x v="6"/>
    <s v="26000 - Ministério da Educação"/>
    <x v="35"/>
    <s v="627.517,59"/>
    <n v="37316364.82"/>
    <n v="37039731.399999999"/>
    <n v="5033897.97"/>
    <s v=""/>
  </r>
  <r>
    <x v="7"/>
    <s v="26000 - Ministério da Educação"/>
    <x v="35"/>
    <s v="2.511.305,66"/>
    <n v="42618932.57"/>
    <n v="42908896.899999999"/>
    <n v="1736035.09"/>
    <s v=""/>
  </r>
  <r>
    <x v="4"/>
    <s v="26000 - Ministério da Educação"/>
    <x v="35"/>
    <s v="4.947.570,73"/>
    <n v="63844243.810000002"/>
    <n v="49710198.93"/>
    <n v="930048.33"/>
    <s v=""/>
  </r>
  <r>
    <x v="2"/>
    <s v="26000 - Ministério da Educação"/>
    <x v="35"/>
    <s v="14.695.415,50"/>
    <n v="43237767.840000004"/>
    <n v="43539982.130000003"/>
    <n v="910812.2"/>
    <s v=""/>
  </r>
  <r>
    <x v="8"/>
    <s v="26000 - Ministério da Educação"/>
    <x v="35"/>
    <s v="466.845.136,24"/>
    <n v="36325880.439999998"/>
    <n v="7534535.4199999999"/>
    <n v="45536325.850000001"/>
    <s v=""/>
  </r>
  <r>
    <x v="9"/>
    <s v="26000 - Ministério da Educação"/>
    <x v="36"/>
    <s v="5.628.205,02"/>
    <n v="48260310.380000003"/>
    <n v="48134966.130000003"/>
    <n v="4518207.75"/>
    <s v=""/>
  </r>
  <r>
    <x v="3"/>
    <s v="26000 - Ministério da Educação"/>
    <x v="36"/>
    <s v="6.801.820,10"/>
    <n v="53897330.32"/>
    <n v="66198107.100000001"/>
    <n v="1421244.03"/>
    <s v=""/>
  </r>
  <r>
    <x v="11"/>
    <s v="26000 - Ministério da Educação"/>
    <x v="36"/>
    <s v="116.052.923,10"/>
    <n v="56078164.490000002"/>
    <n v="52824245.329999998"/>
    <n v="2163143.37"/>
    <s v=""/>
  </r>
  <r>
    <x v="8"/>
    <s v="26000 - Ministério da Educação"/>
    <x v="36"/>
    <s v="196.956.221,08"/>
    <n v="47364131.369999997"/>
    <n v="9345749.9000000004"/>
    <n v="61869306.229999997"/>
    <s v=""/>
  </r>
  <r>
    <x v="2"/>
    <s v="26000 - Ministério da Educação"/>
    <x v="36"/>
    <s v="26.616.725,53"/>
    <n v="54309238.380000003"/>
    <n v="54917187.170000002"/>
    <n v="984856.25"/>
    <s v=""/>
  </r>
  <r>
    <x v="4"/>
    <s v="26000 - Ministério da Educação"/>
    <x v="36"/>
    <s v="75.217.346,15"/>
    <n v="79553479.659999996"/>
    <n v="62936335.170000002"/>
    <n v="1263818.52"/>
    <s v=""/>
  </r>
  <r>
    <x v="5"/>
    <s v="26000 - Ministério da Educação"/>
    <x v="36"/>
    <s v="25.447.162,71"/>
    <n v="75783994.709999993"/>
    <n v="74419487.150000006"/>
    <n v="600493.6"/>
    <s v=""/>
  </r>
  <r>
    <x v="0"/>
    <s v="26000 - Ministério da Educação"/>
    <x v="36"/>
    <s v="121.440.962,37"/>
    <n v="52694504.299999997"/>
    <n v="52023992.159999996"/>
    <n v="2647573.9700000002"/>
    <s v=""/>
  </r>
  <r>
    <x v="10"/>
    <s v="26000 - Ministério da Educação"/>
    <x v="36"/>
    <s v="23.516.239,14"/>
    <n v="65193446.579999998"/>
    <n v="55457426.469999999"/>
    <n v="2419092.27"/>
    <s v=""/>
  </r>
  <r>
    <x v="6"/>
    <s v="26000 - Ministério da Educação"/>
    <x v="36"/>
    <s v="6.578.250,83"/>
    <n v="51566929.340000004"/>
    <n v="51086124.75"/>
    <n v="5191943.6399999997"/>
    <s v=""/>
  </r>
  <r>
    <x v="7"/>
    <s v="26000 - Ministério da Educação"/>
    <x v="36"/>
    <s v="49.866.191,12"/>
    <n v="53923922.920000002"/>
    <n v="53443669.229999997"/>
    <n v="1217791.75"/>
    <s v=""/>
  </r>
  <r>
    <x v="1"/>
    <s v="26000 - Ministério da Educação"/>
    <x v="36"/>
    <s v="69.783.088,74"/>
    <n v="55151679.82"/>
    <n v="54432060.32"/>
    <n v="1106825.45"/>
    <s v=""/>
  </r>
  <r>
    <x v="5"/>
    <s v="26000 - Ministério da Educação"/>
    <x v="37"/>
    <s v="44.819.218,70"/>
    <n v="35180943.259999998"/>
    <n v="42097604.799999997"/>
    <n v="1635445.57"/>
    <s v=""/>
  </r>
  <r>
    <x v="6"/>
    <s v="26000 - Ministério da Educação"/>
    <x v="37"/>
    <s v="1.656.924,11"/>
    <n v="20681057.050000001"/>
    <n v="20236616.940000001"/>
    <n v="4807509.82"/>
    <s v=""/>
  </r>
  <r>
    <x v="2"/>
    <s v="26000 - Ministério da Educação"/>
    <x v="37"/>
    <s v="1.723.022,43"/>
    <n v="26344980.800000001"/>
    <n v="24794811.309999999"/>
    <n v="797701.45"/>
    <s v=""/>
  </r>
  <r>
    <x v="4"/>
    <s v="26000 - Ministério da Educação"/>
    <x v="37"/>
    <s v="- 486.391,25"/>
    <n v="35130121.119999997"/>
    <n v="29228373.920000002"/>
    <n v="273339.71999999997"/>
    <s v=""/>
  </r>
  <r>
    <x v="10"/>
    <s v="26000 - Ministério da Educação"/>
    <x v="37"/>
    <s v="14.629.319,02"/>
    <n v="35179850.890000001"/>
    <n v="25616123.359999999"/>
    <n v="2046572.58"/>
    <s v=""/>
  </r>
  <r>
    <x v="3"/>
    <s v="26000 - Ministério da Educação"/>
    <x v="37"/>
    <s v="21.594.947,65"/>
    <n v="24128858.59"/>
    <n v="37060332.039999999"/>
    <n v="1326907.69"/>
    <s v=""/>
  </r>
  <r>
    <x v="11"/>
    <s v="26000 - Ministério da Educação"/>
    <x v="37"/>
    <s v="14.570.953,13"/>
    <n v="24194836"/>
    <n v="22010539.079999998"/>
    <n v="2358507.1"/>
    <s v=""/>
  </r>
  <r>
    <x v="7"/>
    <s v="26000 - Ministério da Educação"/>
    <x v="37"/>
    <s v="896.436,36"/>
    <n v="26513802.609999999"/>
    <n v="23196474.25"/>
    <n v="887605.95"/>
    <s v=""/>
  </r>
  <r>
    <x v="0"/>
    <s v="26000 - Ministério da Educação"/>
    <x v="37"/>
    <s v="24.994.074,57"/>
    <n v="28706722.879999999"/>
    <n v="21432695.48"/>
    <n v="8203119.3600000003"/>
    <s v=""/>
  </r>
  <r>
    <x v="1"/>
    <s v="26000 - Ministério da Educação"/>
    <x v="37"/>
    <s v="2.127.834,91"/>
    <n v="27103601.960000001"/>
    <n v="25107180.18"/>
    <n v="1316440.78"/>
    <s v=""/>
  </r>
  <r>
    <x v="8"/>
    <s v="26000 - Ministério da Educação"/>
    <x v="37"/>
    <s v="234.373.846,75"/>
    <n v="18456194.699999999"/>
    <n v="4106418.95"/>
    <n v="39363581.350000001"/>
    <s v=""/>
  </r>
  <r>
    <x v="9"/>
    <s v="26000 - Ministério da Educação"/>
    <x v="37"/>
    <s v="6.762.416,44"/>
    <n v="19199124.809999999"/>
    <n v="17084160.579999998"/>
    <n v="6681924.1500000004"/>
    <s v=""/>
  </r>
  <r>
    <x v="8"/>
    <s v="26000 - Ministério da Educação"/>
    <x v="38"/>
    <s v="24.057.478,94"/>
    <n v="11353810.689999999"/>
    <n v="2249299.91"/>
    <n v="14704725"/>
    <s v=""/>
  </r>
  <r>
    <x v="10"/>
    <s v="26000 - Ministério da Educação"/>
    <x v="38"/>
    <s v="29.732.956,65"/>
    <n v="18145130.289999999"/>
    <n v="14908861.09"/>
    <n v="657078.81000000006"/>
    <s v=""/>
  </r>
  <r>
    <x v="1"/>
    <s v="26000 - Ministério da Educação"/>
    <x v="38"/>
    <s v="16.403.327,34"/>
    <n v="15035769.960000001"/>
    <n v="15380105.27"/>
    <n v="51053.49"/>
    <s v=""/>
  </r>
  <r>
    <x v="2"/>
    <s v="26000 - Ministério da Educação"/>
    <x v="38"/>
    <s v="20.882.937,73"/>
    <n v="32816996.149999999"/>
    <n v="20028777.170000002"/>
    <n v="668603.46"/>
    <s v=""/>
  </r>
  <r>
    <x v="0"/>
    <s v="26000 - Ministério da Educação"/>
    <x v="38"/>
    <s v="6.505.241,47"/>
    <n v="12796413.470000001"/>
    <n v="12835135.09"/>
    <n v="1955436.94"/>
    <s v=""/>
  </r>
  <r>
    <x v="3"/>
    <s v="26000 - Ministério da Educação"/>
    <x v="38"/>
    <s v="16.839.257,10"/>
    <n v="27994733.91"/>
    <n v="16787882.379999999"/>
    <n v="420737.47"/>
    <s v=""/>
  </r>
  <r>
    <x v="5"/>
    <s v="26000 - Ministério da Educação"/>
    <x v="38"/>
    <s v="3.194.243,39"/>
    <n v="16153690.720000001"/>
    <n v="16843559.649999999"/>
    <n v="3953629.93"/>
    <s v=""/>
  </r>
  <r>
    <x v="6"/>
    <s v="26000 - Ministério da Educação"/>
    <x v="38"/>
    <s v="6.400.798,04"/>
    <n v="12166111.01"/>
    <n v="11730357.9"/>
    <n v="2101794.6"/>
    <s v=""/>
  </r>
  <r>
    <x v="7"/>
    <s v="26000 - Ministério da Educação"/>
    <x v="38"/>
    <s v="13.215.386,13"/>
    <m/>
    <n v="13468494.560000001"/>
    <n v="472867.1"/>
    <s v=""/>
  </r>
  <r>
    <x v="4"/>
    <s v="26000 - Ministério da Educação"/>
    <x v="38"/>
    <s v="16.708.140,36"/>
    <n v="19760996.469999999"/>
    <n v="27289469.140000001"/>
    <n v="504450.09"/>
    <s v=""/>
  </r>
  <r>
    <x v="11"/>
    <s v="26000 - Ministério da Educação"/>
    <x v="38"/>
    <s v="8.491.520,78"/>
    <n v="12950840.810000001"/>
    <n v="12171878.24"/>
    <n v="2106455.5"/>
    <s v=""/>
  </r>
  <r>
    <x v="9"/>
    <s v="26000 - Ministério da Educação"/>
    <x v="38"/>
    <s v="36.519.180,88"/>
    <n v="11489387.76"/>
    <n v="11409179.560000001"/>
    <n v="3401742.43"/>
    <s v=""/>
  </r>
  <r>
    <x v="8"/>
    <s v="26000 - Ministério da Educação"/>
    <x v="39"/>
    <s v="165.077.360,64"/>
    <n v="51029617.759999998"/>
    <n v="10349555.07"/>
    <n v="73499610.180000007"/>
    <s v=""/>
  </r>
  <r>
    <x v="6"/>
    <s v="26000 - Ministério da Educação"/>
    <x v="39"/>
    <s v="264.625.854,96"/>
    <n v="54781557.07"/>
    <n v="52719725.200000003"/>
    <n v="5470930.2199999997"/>
    <s v=""/>
  </r>
  <r>
    <x v="4"/>
    <s v="26000 - Ministério da Educação"/>
    <x v="39"/>
    <s v="6.693.233,29"/>
    <n v="89683413.400000006"/>
    <n v="71070366.079999998"/>
    <n v="381645.45"/>
    <s v=""/>
  </r>
  <r>
    <x v="9"/>
    <s v="26000 - Ministério da Educação"/>
    <x v="39"/>
    <s v="9.218.542,66"/>
    <n v="50452837.090000004"/>
    <n v="44269242.990000002"/>
    <n v="15716286.199999999"/>
    <s v=""/>
  </r>
  <r>
    <x v="0"/>
    <s v="26000 - Ministério da Educação"/>
    <x v="39"/>
    <s v="16.587.433,57"/>
    <n v="55797785.710000001"/>
    <n v="54891624.109999999"/>
    <n v="8177852.4500000002"/>
    <s v=""/>
  </r>
  <r>
    <x v="1"/>
    <s v="26000 - Ministério da Educação"/>
    <x v="39"/>
    <s v="80.707.811,70"/>
    <n v="58467599.030000001"/>
    <n v="57985494.689999998"/>
    <n v="870854.6"/>
    <s v=""/>
  </r>
  <r>
    <x v="10"/>
    <s v="26000 - Ministério da Educação"/>
    <x v="39"/>
    <s v="12.289.493,86"/>
    <n v="70152192.870000005"/>
    <n v="59794482.520000003"/>
    <n v="2687266.74"/>
    <s v=""/>
  </r>
  <r>
    <x v="3"/>
    <s v="26000 - Ministério da Educação"/>
    <x v="39"/>
    <s v="179.295.475,09"/>
    <n v="57753151.469999999"/>
    <n v="70058137.959999993"/>
    <n v="1898066.23"/>
    <s v=""/>
  </r>
  <r>
    <x v="2"/>
    <s v="26000 - Ministério da Educação"/>
    <x v="39"/>
    <s v="5.340.300,25"/>
    <n v="60717014.310000002"/>
    <n v="60142123.759999998"/>
    <n v="1230654.83"/>
    <s v=""/>
  </r>
  <r>
    <x v="5"/>
    <s v="26000 - Ministério da Educação"/>
    <x v="39"/>
    <s v="34.178.012,58"/>
    <n v="85105148.560000002"/>
    <n v="73912460.670000002"/>
    <n v="1249935.3799999999"/>
    <s v=""/>
  </r>
  <r>
    <x v="11"/>
    <s v="26000 - Ministério da Educação"/>
    <x v="39"/>
    <s v="10.812.191,31"/>
    <n v="59562058.619999997"/>
    <n v="56770849.549999997"/>
    <n v="1950621.43"/>
    <s v=""/>
  </r>
  <r>
    <x v="7"/>
    <s v="26000 - Ministério da Educação"/>
    <x v="39"/>
    <s v="5.599.521,10"/>
    <n v="61568487.829999998"/>
    <n v="60668322.560000002"/>
    <n v="1270088.04"/>
    <s v=""/>
  </r>
  <r>
    <x v="7"/>
    <s v="26000 - Ministério da Educação"/>
    <x v="40"/>
    <s v="3.232.296,86"/>
    <n v="27966845.600000001"/>
    <n v="26921472.93"/>
    <n v="647483.79"/>
    <s v=""/>
  </r>
  <r>
    <x v="11"/>
    <s v="26000 - Ministério da Educação"/>
    <x v="40"/>
    <s v="6.559.307,01"/>
    <n v="26817332.52"/>
    <n v="26300657.359999999"/>
    <n v="869845.76"/>
    <s v=""/>
  </r>
  <r>
    <x v="2"/>
    <s v="26000 - Ministério da Educação"/>
    <x v="40"/>
    <s v="4.172.487,37"/>
    <n v="27046179.59"/>
    <n v="27335937.899999999"/>
    <n v="610251.78"/>
    <s v=""/>
  </r>
  <r>
    <x v="5"/>
    <s v="26000 - Ministério da Educação"/>
    <x v="40"/>
    <s v="12.209.854,75"/>
    <n v="36775124.18"/>
    <n v="34795104.509999998"/>
    <n v="754181.05"/>
    <s v=""/>
  </r>
  <r>
    <x v="6"/>
    <s v="26000 - Ministério da Educação"/>
    <x v="40"/>
    <s v="24.454.948,07"/>
    <n v="25798904.350000001"/>
    <n v="25536270.510000002"/>
    <n v="1049865.5"/>
    <s v=""/>
  </r>
  <r>
    <x v="4"/>
    <s v="26000 - Ministério da Educação"/>
    <x v="40"/>
    <s v="17.975.188,66"/>
    <n v="40920147.75"/>
    <n v="32287046.550000001"/>
    <n v="510720.74"/>
    <s v=""/>
  </r>
  <r>
    <x v="10"/>
    <s v="26000 - Ministério da Educação"/>
    <x v="40"/>
    <s v="9.978.922,09"/>
    <n v="31576509.399999999"/>
    <n v="26494659.539999999"/>
    <n v="334878.96999999997"/>
    <s v=""/>
  </r>
  <r>
    <x v="9"/>
    <s v="26000 - Ministério da Educação"/>
    <x v="40"/>
    <s v="28.016.235,74"/>
    <n v="24846389.16"/>
    <n v="21925960.18"/>
    <n v="3999458.98"/>
    <s v=""/>
  </r>
  <r>
    <x v="1"/>
    <s v="26000 - Ministério da Educação"/>
    <x v="40"/>
    <s v="- 1.331.228,43"/>
    <n v="26686168.719999999"/>
    <n v="26620623.109999999"/>
    <n v="709480.39"/>
    <s v=""/>
  </r>
  <r>
    <x v="8"/>
    <s v="26000 - Ministério da Educação"/>
    <x v="40"/>
    <s v="26.776.327,39"/>
    <n v="24176859.760000002"/>
    <n v="4697897.97"/>
    <n v="35788135.75"/>
    <s v=""/>
  </r>
  <r>
    <x v="3"/>
    <s v="26000 - Ministério da Educação"/>
    <x v="40"/>
    <s v="1.450.798,70"/>
    <n v="26488176.829999998"/>
    <n v="32197597.399999999"/>
    <n v="553570.07999999996"/>
    <s v=""/>
  </r>
  <r>
    <x v="0"/>
    <s v="26000 - Ministério da Educação"/>
    <x v="40"/>
    <s v="225.826.690,74"/>
    <n v="26258884.969999999"/>
    <n v="25930359.640000001"/>
    <n v="1416629.06"/>
    <s v=""/>
  </r>
  <r>
    <x v="10"/>
    <s v="26000 - Ministério da Educação"/>
    <x v="41"/>
    <s v="77.232.754,23"/>
    <n v="122099298.09999999"/>
    <n v="99354765.269999996"/>
    <n v="5611781.0199999996"/>
    <s v=""/>
  </r>
  <r>
    <x v="9"/>
    <s v="26000 - Ministério da Educação"/>
    <x v="41"/>
    <s v="8.440.293,41"/>
    <n v="82024681.709999993"/>
    <n v="82986531.680000007"/>
    <n v="9729808.1400000006"/>
    <s v=""/>
  </r>
  <r>
    <x v="3"/>
    <s v="26000 - Ministério da Educação"/>
    <x v="41"/>
    <s v="11.893.370,95"/>
    <n v="95898944.670000002"/>
    <n v="121540345.70999999"/>
    <n v="3763969.33"/>
    <s v=""/>
  </r>
  <r>
    <x v="1"/>
    <s v="26000 - Ministério da Educação"/>
    <x v="41"/>
    <s v="9.407.871,96"/>
    <n v="102147220.78"/>
    <n v="100463854.67"/>
    <n v="1432656.81"/>
    <s v=""/>
  </r>
  <r>
    <x v="2"/>
    <s v="26000 - Ministério da Educação"/>
    <x v="41"/>
    <s v="50.093.788,27"/>
    <n v="109262031.68000001"/>
    <n v="105700957.16"/>
    <n v="2175844.6"/>
    <s v=""/>
  </r>
  <r>
    <x v="5"/>
    <s v="26000 - Ministério da Educação"/>
    <x v="41"/>
    <s v="35.669.731,67"/>
    <n v="140458710.53"/>
    <n v="138875874.86000001"/>
    <n v="3819600.92"/>
    <s v=""/>
  </r>
  <r>
    <x v="6"/>
    <s v="26000 - Ministério da Educação"/>
    <x v="41"/>
    <s v="14.339.960,29"/>
    <n v="87419018.439999998"/>
    <n v="84399173.400000006"/>
    <n v="13720516.140000001"/>
    <s v=""/>
  </r>
  <r>
    <x v="0"/>
    <s v="26000 - Ministério da Educação"/>
    <x v="41"/>
    <s v="49.855.079,76"/>
    <n v="89469348.829999998"/>
    <n v="88547977.640000001"/>
    <n v="16072502.23"/>
    <s v=""/>
  </r>
  <r>
    <x v="7"/>
    <s v="26000 - Ministério da Educação"/>
    <x v="41"/>
    <s v="6.960.333,37"/>
    <n v="107589843.56"/>
    <n v="104721746.92"/>
    <n v="4094755.91"/>
    <s v=""/>
  </r>
  <r>
    <x v="11"/>
    <s v="26000 - Ministério da Educação"/>
    <x v="41"/>
    <s v="23.588.966,89"/>
    <n v="100268552.79000001"/>
    <n v="93438717.280000001"/>
    <n v="8913836.9100000001"/>
    <s v=""/>
  </r>
  <r>
    <x v="4"/>
    <s v="26000 - Ministério da Educação"/>
    <x v="41"/>
    <s v="20.272.874,80"/>
    <n v="152735569.16999999"/>
    <n v="124325406.68000001"/>
    <n v="2662293.8199999998"/>
    <s v=""/>
  </r>
  <r>
    <x v="8"/>
    <s v="26000 - Ministério da Educação"/>
    <x v="41"/>
    <s v="1.068.888.352,99"/>
    <n v="81740798.540000007"/>
    <n v="16271354.800000001"/>
    <n v="98899547.340000004"/>
    <s v=""/>
  </r>
  <r>
    <x v="5"/>
    <s v="26000 - Ministério da Educação"/>
    <x v="42"/>
    <s v="6.077.958,52"/>
    <n v="14833414.220000001"/>
    <n v="15974802.09"/>
    <n v="1623422.69"/>
    <s v=""/>
  </r>
  <r>
    <x v="4"/>
    <s v="26000 - Ministério da Educação"/>
    <x v="42"/>
    <s v="4.387.478,42"/>
    <n v="19394084.190000001"/>
    <n v="15404764.91"/>
    <n v="339183.9"/>
    <s v=""/>
  </r>
  <r>
    <x v="2"/>
    <s v="26000 - Ministério da Educação"/>
    <x v="42"/>
    <s v="3.644.934,35"/>
    <n v="13252275.220000001"/>
    <n v="13043017.52"/>
    <n v="530871.37"/>
    <s v=""/>
  </r>
  <r>
    <x v="1"/>
    <s v="26000 - Ministério da Educação"/>
    <x v="42"/>
    <s v="1.134.649,35"/>
    <n v="13371707.029999999"/>
    <n v="12763127.65"/>
    <n v="966774.17"/>
    <s v=""/>
  </r>
  <r>
    <x v="7"/>
    <s v="26000 - Ministério da Educação"/>
    <x v="42"/>
    <s v="1.243.625,39"/>
    <n v="12191828.529999999"/>
    <n v="13000720.359999999"/>
    <n v="907020.59"/>
    <s v=""/>
  </r>
  <r>
    <x v="10"/>
    <s v="26000 - Ministério da Educação"/>
    <x v="42"/>
    <s v="1.279.051,97"/>
    <n v="15034691.279999999"/>
    <n v="12260787.23"/>
    <n v="1957883.48"/>
    <s v=""/>
  </r>
  <r>
    <x v="0"/>
    <s v="26000 - Ministério da Educação"/>
    <x v="42"/>
    <s v="3.427.740,35"/>
    <n v="11532041.75"/>
    <n v="12126295.6"/>
    <n v="2103473.98"/>
    <s v=""/>
  </r>
  <r>
    <x v="9"/>
    <s v="26000 - Ministério da Educação"/>
    <x v="42"/>
    <s v="126.772.726,45"/>
    <n v="10941348.85"/>
    <n v="9606842.0399999991"/>
    <n v="3623242.42"/>
    <s v=""/>
  </r>
  <r>
    <x v="6"/>
    <s v="26000 - Ministério da Educação"/>
    <x v="42"/>
    <s v="1.644.215,01"/>
    <n v="12079074.98"/>
    <n v="11122732.199999999"/>
    <n v="1786793.87"/>
    <s v=""/>
  </r>
  <r>
    <x v="11"/>
    <s v="26000 - Ministério da Educação"/>
    <x v="42"/>
    <s v="7.953.919,39"/>
    <n v="12393335.130000001"/>
    <n v="11648944.130000001"/>
    <n v="964432.45"/>
    <s v=""/>
  </r>
  <r>
    <x v="3"/>
    <s v="26000 - Ministério da Educação"/>
    <x v="42"/>
    <s v="545.904,61"/>
    <n v="11936128.82"/>
    <n v="15169108.630000001"/>
    <n v="725741.96"/>
    <s v=""/>
  </r>
  <r>
    <x v="8"/>
    <s v="26000 - Ministério da Educação"/>
    <x v="42"/>
    <s v="12.028.031,69"/>
    <n v="10747731.449999999"/>
    <n v="2344032.0699999998"/>
    <n v="12928081.41"/>
    <s v=""/>
  </r>
  <r>
    <x v="5"/>
    <s v="26000 - Ministério da Educação"/>
    <x v="43"/>
    <s v="9.199.291,19"/>
    <n v="13056769.18"/>
    <n v="13781063.26"/>
    <n v="2083010.92"/>
    <s v=""/>
  </r>
  <r>
    <x v="8"/>
    <s v="26000 - Ministério da Educação"/>
    <x v="43"/>
    <s v="106.330.522,06"/>
    <n v="8277974"/>
    <n v="1665196.07"/>
    <n v="10958236.189999999"/>
    <s v=""/>
  </r>
  <r>
    <x v="7"/>
    <s v="26000 - Ministério da Educação"/>
    <x v="43"/>
    <s v="1.620.301,57"/>
    <n v="10574956.289999999"/>
    <n v="10230697.35"/>
    <n v="442639.04"/>
    <s v=""/>
  </r>
  <r>
    <x v="11"/>
    <s v="26000 - Ministério da Educação"/>
    <x v="43"/>
    <s v="6.207.849,63"/>
    <n v="10920145.699999999"/>
    <n v="8911905.8100000005"/>
    <n v="1406002.15"/>
    <s v=""/>
  </r>
  <r>
    <x v="9"/>
    <s v="26000 - Ministério da Educação"/>
    <x v="43"/>
    <s v="284.046,16"/>
    <n v="7959623.8499999996"/>
    <n v="8239153.9199999999"/>
    <n v="2273136.48"/>
    <s v=""/>
  </r>
  <r>
    <x v="1"/>
    <s v="26000 - Ministério da Educação"/>
    <x v="43"/>
    <s v="- 2.740.017,12"/>
    <n v="10569582.41"/>
    <n v="10137422.720000001"/>
    <n v="804762.68"/>
    <s v=""/>
  </r>
  <r>
    <x v="10"/>
    <s v="26000 - Ministério da Educação"/>
    <x v="43"/>
    <s v="7.328.365,18"/>
    <n v="11893391.390000001"/>
    <n v="11097670.65"/>
    <n v="880726.63"/>
    <s v=""/>
  </r>
  <r>
    <x v="0"/>
    <s v="26000 - Ministério da Educação"/>
    <x v="43"/>
    <s v="5.198.729,47"/>
    <n v="8658985.9499999993"/>
    <n v="8064016.21"/>
    <n v="2023119.3"/>
    <s v=""/>
  </r>
  <r>
    <x v="3"/>
    <s v="26000 - Ministério da Educação"/>
    <x v="43"/>
    <s v="4.370.302,05"/>
    <n v="9205366.5"/>
    <n v="11396566.15"/>
    <n v="814140.69"/>
    <s v=""/>
  </r>
  <r>
    <x v="2"/>
    <s v="26000 - Ministério da Educação"/>
    <x v="43"/>
    <s v="- 696.309,02"/>
    <n v="11063067.91"/>
    <n v="11216920.050000001"/>
    <n v="794669.69"/>
    <s v=""/>
  </r>
  <r>
    <x v="4"/>
    <s v="26000 - Ministério da Educação"/>
    <x v="43"/>
    <s v="2.104.499,83"/>
    <n v="15737221.119999999"/>
    <n v="12238694.9"/>
    <n v="487780.37"/>
    <s v=""/>
  </r>
  <r>
    <x v="6"/>
    <s v="26000 - Ministério da Educação"/>
    <x v="43"/>
    <s v="793.668,30"/>
    <n v="8065368.4699999997"/>
    <n v="8006680.3200000003"/>
    <n v="1895302.54"/>
    <s v=""/>
  </r>
  <r>
    <x v="8"/>
    <s v="26000 - Ministério da Educação"/>
    <x v="44"/>
    <s v="395.261.668,26"/>
    <n v="31623282.309999999"/>
    <n v="6527120.0899999999"/>
    <n v="43129202.57"/>
    <s v=""/>
  </r>
  <r>
    <x v="3"/>
    <s v="26000 - Ministério da Educação"/>
    <x v="44"/>
    <s v="16.035.398,24"/>
    <n v="46200556.840000004"/>
    <n v="51906664.560000002"/>
    <n v="2936775.23"/>
    <s v=""/>
  </r>
  <r>
    <x v="9"/>
    <s v="26000 - Ministério da Educação"/>
    <x v="44"/>
    <s v="4.371.686,05"/>
    <n v="33044444.789999999"/>
    <n v="27969860.359999999"/>
    <n v="8066724.7699999996"/>
    <s v=""/>
  </r>
  <r>
    <x v="5"/>
    <s v="26000 - Ministério da Educação"/>
    <x v="44"/>
    <s v="42.872.077,21"/>
    <n v="48308014.909999996"/>
    <n v="51018838.109999999"/>
    <n v="3460516.74"/>
    <s v=""/>
  </r>
  <r>
    <x v="6"/>
    <s v="26000 - Ministério da Educação"/>
    <x v="44"/>
    <s v="4.480.514,60"/>
    <n v="34989021.670000002"/>
    <n v="33958639.57"/>
    <n v="10309123.09"/>
    <s v=""/>
  </r>
  <r>
    <x v="10"/>
    <s v="26000 - Ministério da Educação"/>
    <x v="44"/>
    <s v="2.098.982,11"/>
    <n v="45150815.530000001"/>
    <n v="38701375.539999999"/>
    <n v="2790221.71"/>
    <s v=""/>
  </r>
  <r>
    <x v="7"/>
    <s v="26000 - Ministério da Educação"/>
    <x v="44"/>
    <s v="32.123.836,30"/>
    <n v="37973797.539999999"/>
    <n v="37508331.240000002"/>
    <n v="2281307.64"/>
    <s v=""/>
  </r>
  <r>
    <x v="4"/>
    <s v="26000 - Ministério da Educação"/>
    <x v="44"/>
    <s v="110.419,10"/>
    <n v="57914695.210000001"/>
    <n v="46671395.920000002"/>
    <n v="225362.15"/>
    <s v=""/>
  </r>
  <r>
    <x v="11"/>
    <s v="26000 - Ministério da Educação"/>
    <x v="44"/>
    <s v="19.891.543,68"/>
    <n v="38814525.689999998"/>
    <n v="36568949.030000001"/>
    <n v="2772415.77"/>
    <s v=""/>
  </r>
  <r>
    <x v="0"/>
    <s v="26000 - Ministério da Educação"/>
    <x v="44"/>
    <s v="8.955.782,21"/>
    <n v="36978468.5"/>
    <n v="36265519.07"/>
    <n v="4665018.26"/>
    <s v=""/>
  </r>
  <r>
    <x v="1"/>
    <s v="26000 - Ministério da Educação"/>
    <x v="44"/>
    <s v="9.338.390,60"/>
    <n v="37940194.560000002"/>
    <n v="38209898.75"/>
    <n v="878406.42"/>
    <s v=""/>
  </r>
  <r>
    <x v="2"/>
    <s v="26000 - Ministério da Educação"/>
    <x v="44"/>
    <s v="6.735.322,69"/>
    <n v="38549657.979999997"/>
    <n v="38559290.399999999"/>
    <n v="853800.66"/>
    <s v=""/>
  </r>
  <r>
    <x v="1"/>
    <s v="26000 - Ministério da Educação"/>
    <x v="45"/>
    <s v="62.028.233,57"/>
    <n v="80486967.290000007"/>
    <n v="76207574.739999995"/>
    <n v="2507689.29"/>
    <s v=""/>
  </r>
  <r>
    <x v="2"/>
    <s v="26000 - Ministério da Educação"/>
    <x v="45"/>
    <s v="76.495.757,39"/>
    <n v="80051032.400000006"/>
    <n v="79166058.859999999"/>
    <n v="2628003.94"/>
    <s v=""/>
  </r>
  <r>
    <x v="0"/>
    <s v="26000 - Ministério da Educação"/>
    <x v="45"/>
    <s v="112.634.305,50"/>
    <n v="74286987.890000001"/>
    <n v="73012519.379999995"/>
    <n v="7051570.6100000003"/>
    <s v=""/>
  </r>
  <r>
    <x v="10"/>
    <s v="26000 - Ministério da Educação"/>
    <x v="45"/>
    <s v="99.873.738,83"/>
    <n v="93201115.519999996"/>
    <n v="77627890.530000001"/>
    <n v="5806751.3499999996"/>
    <s v=""/>
  </r>
  <r>
    <x v="7"/>
    <s v="26000 - Ministério da Educação"/>
    <x v="45"/>
    <s v="74.413.933,36"/>
    <n v="77913851.950000003"/>
    <n v="81073075.269999996"/>
    <n v="2559560.4300000002"/>
    <s v=""/>
  </r>
  <r>
    <x v="5"/>
    <s v="26000 - Ministério da Educação"/>
    <x v="45"/>
    <s v="102.670.690,55"/>
    <n v="123681855.34999999"/>
    <n v="106727474.52"/>
    <n v="5516996.4299999997"/>
    <s v=""/>
  </r>
  <r>
    <x v="6"/>
    <s v="26000 - Ministério da Educação"/>
    <x v="45"/>
    <s v="75.543.285,10"/>
    <n v="71353981.060000002"/>
    <n v="70383731.439999998"/>
    <n v="7385556.5099999998"/>
    <s v=""/>
  </r>
  <r>
    <x v="3"/>
    <s v="26000 - Ministério da Educação"/>
    <x v="45"/>
    <s v="84.047.312,40"/>
    <n v="76428814.689999998"/>
    <n v="95508318.359999999"/>
    <n v="4262794.95"/>
    <s v=""/>
  </r>
  <r>
    <x v="11"/>
    <s v="26000 - Ministério da Educação"/>
    <x v="45"/>
    <s v="90.770.199,35"/>
    <n v="81909242.329999998"/>
    <n v="76247238.409999996"/>
    <n v="18063808.530000001"/>
    <s v=""/>
  </r>
  <r>
    <x v="4"/>
    <s v="26000 - Ministério da Educação"/>
    <x v="45"/>
    <s v="141.032.113,99"/>
    <n v="121930258.77"/>
    <n v="96779904.370000005"/>
    <n v="2351648.33"/>
    <s v=""/>
  </r>
  <r>
    <x v="9"/>
    <s v="26000 - Ministério da Educação"/>
    <x v="45"/>
    <s v="74.874.261,71"/>
    <n v="68205783.379999995"/>
    <n v="59690641.590000004"/>
    <n v="15123608.710000001"/>
    <s v=""/>
  </r>
  <r>
    <x v="8"/>
    <s v="26000 - Ministério da Educação"/>
    <x v="45"/>
    <s v="71.305.344,06"/>
    <n v="65526682.200000003"/>
    <n v="14310345.68"/>
    <n v="91997831.989999995"/>
    <s v=""/>
  </r>
  <r>
    <x v="3"/>
    <s v="26000 - Ministério da Educação"/>
    <x v="46"/>
    <s v="42.717.621,93"/>
    <n v="72590109.280000001"/>
    <n v="86974264.879999995"/>
    <n v="3663275.54"/>
    <s v=""/>
  </r>
  <r>
    <x v="9"/>
    <s v="26000 - Ministério da Educação"/>
    <x v="46"/>
    <s v="31.472.053,08"/>
    <n v="61758531.520000003"/>
    <n v="54541475.289999999"/>
    <n v="15749328.970000001"/>
    <s v=""/>
  </r>
  <r>
    <x v="11"/>
    <s v="26000 - Ministério da Educação"/>
    <x v="46"/>
    <s v="149.869.824,54"/>
    <n v="75634219.579999998"/>
    <n v="71155911.120000005"/>
    <n v="6384087.5999999996"/>
    <s v=""/>
  </r>
  <r>
    <x v="10"/>
    <s v="26000 - Ministério da Educação"/>
    <x v="46"/>
    <s v="56.257.590,68"/>
    <n v="88090687.890000001"/>
    <n v="73167270.799999997"/>
    <n v="2415943.19"/>
    <s v=""/>
  </r>
  <r>
    <x v="5"/>
    <s v="26000 - Ministério da Educação"/>
    <x v="46"/>
    <s v="99.454.231,35"/>
    <n v="105040546.54000001"/>
    <n v="113509810.7"/>
    <n v="1441089.13"/>
    <s v=""/>
  </r>
  <r>
    <x v="6"/>
    <s v="26000 - Ministério da Educação"/>
    <x v="46"/>
    <s v="45.704.928,52"/>
    <n v="66113027.280000001"/>
    <n v="64216184.829999998"/>
    <n v="12585084.310000001"/>
    <s v=""/>
  </r>
  <r>
    <x v="0"/>
    <s v="26000 - Ministério da Educação"/>
    <x v="46"/>
    <s v="50.493.009,80"/>
    <n v="68029982.129999995"/>
    <n v="65851174.670000002"/>
    <n v="10151205.109999999"/>
    <s v=""/>
  </r>
  <r>
    <x v="1"/>
    <s v="26000 - Ministério da Educação"/>
    <x v="46"/>
    <s v="82.931.783,95"/>
    <n v="79105261.569999993"/>
    <n v="74237602.090000004"/>
    <n v="1305082.3999999999"/>
    <s v=""/>
  </r>
  <r>
    <x v="2"/>
    <s v="26000 - Ministério da Educação"/>
    <x v="46"/>
    <s v="65.105.330,67"/>
    <n v="75195979.019999996"/>
    <n v="69151561.120000005"/>
    <n v="355540.86"/>
    <s v=""/>
  </r>
  <r>
    <x v="7"/>
    <s v="26000 - Ministério da Educação"/>
    <x v="46"/>
    <s v="40.965.061,98"/>
    <n v="70744837.379999995"/>
    <n v="73486448.709999993"/>
    <n v="662451.31000000006"/>
    <s v=""/>
  </r>
  <r>
    <x v="4"/>
    <s v="26000 - Ministério da Educação"/>
    <x v="46"/>
    <s v="57.573.965,35"/>
    <n v="116651045.14"/>
    <n v="84344375.040000007"/>
    <n v="210280.42"/>
    <s v=""/>
  </r>
  <r>
    <x v="8"/>
    <s v="26000 - Ministério da Educação"/>
    <x v="46"/>
    <s v="295.596.303,21"/>
    <n v="58530470.350000001"/>
    <n v="12747117.73"/>
    <n v="76969918.760000005"/>
    <s v=""/>
  </r>
  <r>
    <x v="5"/>
    <s v="26000 - Ministério da Educação"/>
    <x v="47"/>
    <s v="66.536.597,68"/>
    <n v="121643706.19"/>
    <n v="101724533.2"/>
    <n v="6084930.96"/>
    <s v=""/>
  </r>
  <r>
    <x v="3"/>
    <s v="26000 - Ministério da Educação"/>
    <x v="47"/>
    <s v="120.922.281,40"/>
    <n v="73582955.280000001"/>
    <n v="89123901.480000004"/>
    <n v="4356845.67"/>
    <s v=""/>
  </r>
  <r>
    <x v="10"/>
    <s v="26000 - Ministério da Educação"/>
    <x v="47"/>
    <s v="25.783.556,58"/>
    <n v="83057167.5"/>
    <n v="76112005.480000004"/>
    <n v="4870584.8099999996"/>
    <s v=""/>
  </r>
  <r>
    <x v="11"/>
    <s v="26000 - Ministério da Educação"/>
    <x v="47"/>
    <s v="25.083.053,48"/>
    <n v="74625153.150000006"/>
    <n v="63410954.409999996"/>
    <n v="8588547.1699999999"/>
    <s v=""/>
  </r>
  <r>
    <x v="4"/>
    <s v="26000 - Ministério da Educação"/>
    <x v="47"/>
    <s v="- 5.030.186,74"/>
    <n v="97987969.290000007"/>
    <n v="82446441.980000004"/>
    <n v="594270.75"/>
    <s v=""/>
  </r>
  <r>
    <x v="9"/>
    <s v="26000 - Ministério da Educação"/>
    <x v="47"/>
    <s v="8.844.251,12"/>
    <n v="55833082.630000003"/>
    <n v="48135074.469999999"/>
    <n v="23088457.699999999"/>
    <s v=""/>
  </r>
  <r>
    <x v="0"/>
    <s v="26000 - Ministério da Educação"/>
    <x v="47"/>
    <s v="49.807.181,48"/>
    <n v="63499664.93"/>
    <n v="62416920.460000001"/>
    <n v="8833315.5700000003"/>
    <s v=""/>
  </r>
  <r>
    <x v="2"/>
    <s v="26000 - Ministério da Educação"/>
    <x v="47"/>
    <s v="31.737.510,24"/>
    <n v="77775563.430000007"/>
    <n v="75718015.780000001"/>
    <n v="2072979.96"/>
    <s v=""/>
  </r>
  <r>
    <x v="7"/>
    <s v="26000 - Ministério da Educação"/>
    <x v="47"/>
    <s v="7.454.983,47"/>
    <n v="74814683.409999996"/>
    <n v="74164804.540000007"/>
    <n v="2490620.62"/>
    <s v=""/>
  </r>
  <r>
    <x v="1"/>
    <s v="26000 - Ministério da Educação"/>
    <x v="47"/>
    <s v="18.220.738,36"/>
    <n v="74208215.689999998"/>
    <n v="67573835.950000003"/>
    <n v="1750469.56"/>
    <s v=""/>
  </r>
  <r>
    <x v="6"/>
    <s v="26000 - Ministério da Educação"/>
    <x v="47"/>
    <s v="9.250.688,38"/>
    <n v="60090922.969999999"/>
    <n v="59129970.109999999"/>
    <n v="24181043.390000001"/>
    <s v=""/>
  </r>
  <r>
    <x v="8"/>
    <s v="26000 - Ministério da Educação"/>
    <x v="47"/>
    <s v="619.632.646,98"/>
    <n v="54107682.740000002"/>
    <n v="11870352.84"/>
    <n v="81797192.25"/>
    <s v=""/>
  </r>
  <r>
    <x v="7"/>
    <s v="26000 - Ministério da Educação"/>
    <x v="48"/>
    <s v="7.140.145,29"/>
    <n v="49509688.579999998"/>
    <n v="48895317.450000003"/>
    <n v="1185439.97"/>
    <s v=""/>
  </r>
  <r>
    <x v="3"/>
    <s v="26000 - Ministério da Educação"/>
    <x v="48"/>
    <s v="21.240.144,72"/>
    <n v="47070538.079999998"/>
    <n v="56575897.850000001"/>
    <n v="2169957.9"/>
    <s v=""/>
  </r>
  <r>
    <x v="6"/>
    <s v="26000 - Ministério da Educação"/>
    <x v="48"/>
    <s v="7.476.151,11"/>
    <n v="41812161.32"/>
    <n v="41729616.670000002"/>
    <n v="12087043.470000001"/>
    <s v=""/>
  </r>
  <r>
    <x v="0"/>
    <s v="26000 - Ministério da Educação"/>
    <x v="48"/>
    <s v="31.318.535,36"/>
    <n v="44870236.490000002"/>
    <n v="43040846.310000002"/>
    <n v="10894866.02"/>
    <s v=""/>
  </r>
  <r>
    <x v="1"/>
    <s v="26000 - Ministério da Educação"/>
    <x v="48"/>
    <s v="4.319.644,15"/>
    <n v="52164240.600000001"/>
    <n v="48179295.969999999"/>
    <n v="1646404.68"/>
    <s v=""/>
  </r>
  <r>
    <x v="11"/>
    <s v="26000 - Ministério da Educação"/>
    <x v="48"/>
    <s v="24.396.203,16"/>
    <n v="47334971.170000002"/>
    <n v="44976956.630000003"/>
    <n v="5707302.5999999996"/>
    <s v=""/>
  </r>
  <r>
    <x v="10"/>
    <s v="26000 - Ministério da Educação"/>
    <x v="48"/>
    <s v="12.455.569,04"/>
    <n v="59887124.740000002"/>
    <n v="50722174.369999997"/>
    <n v="1907189.97"/>
    <s v=""/>
  </r>
  <r>
    <x v="9"/>
    <s v="26000 - Ministério da Educação"/>
    <x v="48"/>
    <s v="5.655.131,51"/>
    <n v="41228247.700000003"/>
    <n v="35790710.5"/>
    <n v="8577248.5399999991"/>
    <s v=""/>
  </r>
  <r>
    <x v="5"/>
    <s v="26000 - Ministério da Educação"/>
    <x v="48"/>
    <s v="54.401.940,07"/>
    <n v="67427430.219999999"/>
    <n v="76914679.620000005"/>
    <n v="3962494.18"/>
    <s v=""/>
  </r>
  <r>
    <x v="2"/>
    <s v="26000 - Ministério da Educação"/>
    <x v="48"/>
    <s v="6.929.264,25"/>
    <n v="51471322.060000002"/>
    <n v="50793038.939999998"/>
    <n v="508815.57"/>
    <s v=""/>
  </r>
  <r>
    <x v="4"/>
    <s v="26000 - Ministério da Educação"/>
    <x v="48"/>
    <s v="26.572.493,41"/>
    <n v="70738699.159999996"/>
    <n v="47320358.049999997"/>
    <n v="1070033.79"/>
    <s v=""/>
  </r>
  <r>
    <x v="8"/>
    <s v="26000 - Ministério da Educação"/>
    <x v="48"/>
    <s v="470.731.581,94"/>
    <n v="39057521.109999999"/>
    <n v="8695693.6999999993"/>
    <n v="54503091.759999998"/>
    <s v=""/>
  </r>
  <r>
    <x v="0"/>
    <s v="26000 - Ministério da Educação"/>
    <x v="49"/>
    <s v="185.344.244,13"/>
    <n v="20757748.100000001"/>
    <n v="20536180.059999999"/>
    <n v="2797974.53"/>
    <s v=""/>
  </r>
  <r>
    <x v="1"/>
    <s v="26000 - Ministério da Educação"/>
    <x v="49"/>
    <s v="2.586.639,52"/>
    <n v="21687756.93"/>
    <n v="21931559.449999999"/>
    <n v="528732.30000000005"/>
    <s v=""/>
  </r>
  <r>
    <x v="7"/>
    <s v="26000 - Ministério da Educação"/>
    <x v="49"/>
    <s v="1.446.099,92"/>
    <n v="22293624.73"/>
    <n v="21612147.140000001"/>
    <n v="335631.49"/>
    <s v=""/>
  </r>
  <r>
    <x v="5"/>
    <s v="26000 - Ministério da Educação"/>
    <x v="49"/>
    <s v="14.685.897,01"/>
    <n v="31484322.870000001"/>
    <n v="35462159.810000002"/>
    <n v="2801049.45"/>
    <s v=""/>
  </r>
  <r>
    <x v="3"/>
    <s v="26000 - Ministério da Educação"/>
    <x v="49"/>
    <s v="4.381.433,78"/>
    <n v="21847483.359999999"/>
    <n v="29225334.579999998"/>
    <n v="1273171.3400000001"/>
    <s v=""/>
  </r>
  <r>
    <x v="10"/>
    <s v="26000 - Ministério da Educação"/>
    <x v="49"/>
    <s v="3.624.739,34"/>
    <n v="28489065.059999999"/>
    <n v="21729916.300000001"/>
    <n v="1073924.74"/>
    <s v=""/>
  </r>
  <r>
    <x v="11"/>
    <s v="26000 - Ministério da Educação"/>
    <x v="49"/>
    <s v="11.606.682,55"/>
    <n v="22865678.289999999"/>
    <n v="21204795.559999999"/>
    <n v="1919930.69"/>
    <s v=""/>
  </r>
  <r>
    <x v="6"/>
    <s v="26000 - Ministério da Educação"/>
    <x v="49"/>
    <s v="21.837.940,78"/>
    <n v="20388974.52"/>
    <n v="19616368.66"/>
    <n v="4339195.92"/>
    <s v=""/>
  </r>
  <r>
    <x v="8"/>
    <s v="26000 - Ministério da Educação"/>
    <x v="49"/>
    <s v="18.074.901,04"/>
    <n v="17472443.239999998"/>
    <n v="3686202.33"/>
    <n v="23221156.73"/>
    <s v=""/>
  </r>
  <r>
    <x v="2"/>
    <s v="26000 - Ministério da Educação"/>
    <x v="49"/>
    <s v="12.442.981,45"/>
    <n v="22580846.34"/>
    <n v="21971318.890000001"/>
    <n v="295105.78999999998"/>
    <s v=""/>
  </r>
  <r>
    <x v="4"/>
    <s v="26000 - Ministério da Educação"/>
    <x v="49"/>
    <s v="4.722.271,10"/>
    <n v="35053687.359999999"/>
    <n v="27389395.710000001"/>
    <n v="97850.47"/>
    <s v=""/>
  </r>
  <r>
    <x v="9"/>
    <s v="26000 - Ministério da Educação"/>
    <x v="49"/>
    <s v="20.043.721,53"/>
    <n v="18227328.760000002"/>
    <n v="15931773.82"/>
    <n v="5654834.8200000003"/>
    <s v=""/>
  </r>
  <r>
    <x v="11"/>
    <s v="26000 - Ministério da Educação"/>
    <x v="50"/>
    <s v="4.263.343,50"/>
    <n v="28134175.379999999"/>
    <n v="26101214.75"/>
    <n v="1674215.26"/>
    <s v=""/>
  </r>
  <r>
    <x v="7"/>
    <s v="26000 - Ministério da Educação"/>
    <x v="50"/>
    <s v="11.355.946,10"/>
    <n v="28346803.309999999"/>
    <n v="27314184.710000001"/>
    <n v="799166.8"/>
    <s v=""/>
  </r>
  <r>
    <x v="0"/>
    <s v="26000 - Ministério da Educação"/>
    <x v="50"/>
    <s v="21.622.356,59"/>
    <n v="25880830.649999999"/>
    <n v="25871874.07"/>
    <n v="1772390.41"/>
    <s v=""/>
  </r>
  <r>
    <x v="6"/>
    <s v="26000 - Ministério da Educação"/>
    <x v="50"/>
    <s v="4.406.365,45"/>
    <n v="25268475.579999998"/>
    <n v="25556701"/>
    <n v="3867433.07"/>
    <s v=""/>
  </r>
  <r>
    <x v="3"/>
    <s v="26000 - Ministério da Educação"/>
    <x v="50"/>
    <s v="11.039.586,50"/>
    <n v="26680081.57"/>
    <n v="32183580.129999999"/>
    <n v="1165110.5900000001"/>
    <s v=""/>
  </r>
  <r>
    <x v="8"/>
    <s v="26000 - Ministério da Educação"/>
    <x v="50"/>
    <s v="267.505.670,98"/>
    <n v="23732812.329999998"/>
    <n v="4758287.6100000003"/>
    <n v="30300347.41"/>
    <s v=""/>
  </r>
  <r>
    <x v="5"/>
    <s v="26000 - Ministério da Educação"/>
    <x v="50"/>
    <s v="27.441.077,76"/>
    <n v="39459411.630000003"/>
    <n v="40800438.009999998"/>
    <n v="1407057.32"/>
    <s v=""/>
  </r>
  <r>
    <x v="10"/>
    <s v="26000 - Ministério da Educação"/>
    <x v="50"/>
    <s v="4.584.651,38"/>
    <n v="31581989.129999999"/>
    <n v="27601542.699999999"/>
    <n v="1782605.18"/>
    <s v=""/>
  </r>
  <r>
    <x v="1"/>
    <s v="26000 - Ministério da Educação"/>
    <x v="50"/>
    <s v="- 3.158.620,30"/>
    <n v="27563317.43"/>
    <n v="26553133.280000001"/>
    <n v="1254979.04"/>
    <s v=""/>
  </r>
  <r>
    <x v="2"/>
    <s v="26000 - Ministério da Educação"/>
    <x v="50"/>
    <s v="40.975.830,52"/>
    <n v="31663766.57"/>
    <n v="33012607.41"/>
    <n v="561606.39"/>
    <s v=""/>
  </r>
  <r>
    <x v="4"/>
    <s v="26000 - Ministério da Educação"/>
    <x v="50"/>
    <s v="4.094.631,17"/>
    <n v="41083781.130000003"/>
    <n v="33044425.699999999"/>
    <n v="749176.2"/>
    <s v=""/>
  </r>
  <r>
    <x v="9"/>
    <s v="26000 - Ministério da Educação"/>
    <x v="50"/>
    <s v="2.457.063,98"/>
    <n v="24656182.309999999"/>
    <n v="24526468.09"/>
    <n v="3045858.09"/>
    <s v=""/>
  </r>
  <r>
    <x v="3"/>
    <s v="26000 - Ministério da Educação"/>
    <x v="51"/>
    <s v="14.630.099,46"/>
    <n v="49500297.810000002"/>
    <n v="62001145.539999999"/>
    <n v="1645303.4"/>
    <s v=""/>
  </r>
  <r>
    <x v="1"/>
    <s v="26000 - Ministério da Educação"/>
    <x v="51"/>
    <s v="- 3.836.317,59"/>
    <n v="50316287.82"/>
    <n v="50739352.710000001"/>
    <n v="974684.16000000003"/>
    <s v=""/>
  </r>
  <r>
    <x v="2"/>
    <s v="26000 - Ministério da Educação"/>
    <x v="51"/>
    <s v="22.405.871,35"/>
    <n v="50548231.609999999"/>
    <n v="50578764.609999999"/>
    <n v="820525.09"/>
    <s v=""/>
  </r>
  <r>
    <x v="0"/>
    <s v="26000 - Ministério da Educação"/>
    <x v="51"/>
    <s v="40.824.815,23"/>
    <n v="48708233.390000001"/>
    <n v="43324578.170000002"/>
    <n v="2494816.8199999998"/>
    <s v=""/>
  </r>
  <r>
    <x v="9"/>
    <s v="26000 - Ministério da Educação"/>
    <x v="51"/>
    <s v="4.521.371,35"/>
    <n v="45612598.009999998"/>
    <n v="46117342.579999998"/>
    <n v="2182159.63"/>
    <s v=""/>
  </r>
  <r>
    <x v="6"/>
    <s v="26000 - Ministério da Educação"/>
    <x v="51"/>
    <s v="5.891.101,45"/>
    <n v="47657283.899999999"/>
    <n v="47296357.119999997"/>
    <n v="7167339.75"/>
    <s v=""/>
  </r>
  <r>
    <x v="7"/>
    <s v="26000 - Ministério da Educação"/>
    <x v="51"/>
    <s v="6.581.168,04"/>
    <n v="52048360.549999997"/>
    <n v="51035684.219999999"/>
    <n v="1370216.63"/>
    <s v=""/>
  </r>
  <r>
    <x v="5"/>
    <s v="26000 - Ministério da Educação"/>
    <x v="51"/>
    <s v="12.738.143,06"/>
    <n v="57962307.07"/>
    <n v="60895061.240000002"/>
    <n v="2858599.04"/>
    <s v=""/>
  </r>
  <r>
    <x v="11"/>
    <s v="26000 - Ministério da Educação"/>
    <x v="51"/>
    <s v="23.651.809,81"/>
    <n v="52305362.490000002"/>
    <n v="53545865.100000001"/>
    <n v="3295125.32"/>
    <s v=""/>
  </r>
  <r>
    <x v="10"/>
    <s v="26000 - Ministério da Educação"/>
    <x v="51"/>
    <s v="3.207.930,63"/>
    <n v="62494250.060000002"/>
    <n v="51863707.450000003"/>
    <n v="3582390.13"/>
    <s v=""/>
  </r>
  <r>
    <x v="4"/>
    <s v="26000 - Ministério da Educação"/>
    <x v="51"/>
    <s v="2.367.201,81"/>
    <n v="80415745.069999993"/>
    <n v="62173757.170000002"/>
    <n v="649273.09"/>
    <s v=""/>
  </r>
  <r>
    <x v="8"/>
    <s v="26000 - Ministério da Educação"/>
    <x v="51"/>
    <s v="555.502.014,77"/>
    <n v="44001335.799999997"/>
    <n v="9755116.9800000004"/>
    <n v="50833892.539999999"/>
    <s v=""/>
  </r>
  <r>
    <x v="3"/>
    <s v="26000 - Ministério da Educação"/>
    <x v="52"/>
    <s v="10.335.852,88"/>
    <n v="49821606.520000003"/>
    <n v="58710261.880000003"/>
    <n v="813858.29"/>
    <s v=""/>
  </r>
  <r>
    <x v="2"/>
    <s v="26000 - Ministério da Educação"/>
    <x v="52"/>
    <s v="27.022.701,79"/>
    <n v="52634371.950000003"/>
    <n v="51393507.530000001"/>
    <n v="487935.72"/>
    <s v=""/>
  </r>
  <r>
    <x v="4"/>
    <s v="26000 - Ministério da Educação"/>
    <x v="52"/>
    <s v="17.992.258,29"/>
    <n v="77276895.209999993"/>
    <n v="59223336.75"/>
    <n v="215482.75"/>
    <s v=""/>
  </r>
  <r>
    <x v="7"/>
    <s v="26000 - Ministério da Educação"/>
    <x v="52"/>
    <s v="12.947.944,46"/>
    <n v="49467958.079999998"/>
    <n v="48852309.619999997"/>
    <n v="604192.48"/>
    <s v=""/>
  </r>
  <r>
    <x v="10"/>
    <s v="26000 - Ministério da Educação"/>
    <x v="52"/>
    <s v="6.053.857,91"/>
    <n v="57200943.670000002"/>
    <n v="49185338.390000001"/>
    <n v="2540730.7400000002"/>
    <s v=""/>
  </r>
  <r>
    <x v="11"/>
    <s v="26000 - Ministério da Educação"/>
    <x v="52"/>
    <s v="7.247.187,54"/>
    <n v="54044544.899999999"/>
    <n v="50301754.039999999"/>
    <n v="8574378.2699999996"/>
    <s v=""/>
  </r>
  <r>
    <x v="5"/>
    <s v="26000 - Ministério da Educação"/>
    <x v="52"/>
    <s v="23.107.508,44"/>
    <n v="70092052.189999998"/>
    <n v="67622787.400000006"/>
    <n v="229027.53"/>
    <s v=""/>
  </r>
  <r>
    <x v="6"/>
    <s v="26000 - Ministério da Educação"/>
    <x v="52"/>
    <s v="7.609.054,43"/>
    <n v="45868311.43"/>
    <n v="44661964.43"/>
    <n v="5957976.2199999997"/>
    <s v=""/>
  </r>
  <r>
    <x v="0"/>
    <s v="26000 - Ministério da Educação"/>
    <x v="52"/>
    <s v="10.569.434,22"/>
    <n v="46388770.100000001"/>
    <n v="46524439.060000002"/>
    <n v="1545360.63"/>
    <s v=""/>
  </r>
  <r>
    <x v="1"/>
    <s v="26000 - Ministério da Educação"/>
    <x v="52"/>
    <s v="9.015.815,92"/>
    <n v="49224855.890000001"/>
    <n v="49184874.619999997"/>
    <n v="1002361.49"/>
    <s v=""/>
  </r>
  <r>
    <x v="9"/>
    <s v="26000 - Ministério da Educação"/>
    <x v="52"/>
    <s v="4.327.403,40"/>
    <n v="43543744.340000004"/>
    <n v="39121491.590000004"/>
    <n v="9778281.6400000006"/>
    <s v=""/>
  </r>
  <r>
    <x v="8"/>
    <s v="26000 - Ministério da Educação"/>
    <x v="52"/>
    <s v="536.192.945,31"/>
    <n v="42794453.609999999"/>
    <n v="8693872.6099999994"/>
    <n v="57074689.270000003"/>
    <s v=""/>
  </r>
  <r>
    <x v="1"/>
    <s v="26000 - Ministério da Educação"/>
    <x v="53"/>
    <s v="5.100.141,50"/>
    <n v="42255922.369999997"/>
    <n v="41407846.770000003"/>
    <n v="859603.81"/>
    <s v=""/>
  </r>
  <r>
    <x v="4"/>
    <s v="26000 - Ministério da Educação"/>
    <x v="53"/>
    <s v="7.126.950,42"/>
    <n v="63211681.25"/>
    <n v="50065186.020000003"/>
    <n v="173216.83"/>
    <s v=""/>
  </r>
  <r>
    <x v="11"/>
    <s v="26000 - Ministério da Educação"/>
    <x v="53"/>
    <s v="11.351.424,78"/>
    <n v="42638395"/>
    <n v="41264217.57"/>
    <n v="2188503.17"/>
    <s v=""/>
  </r>
  <r>
    <x v="10"/>
    <s v="26000 - Ministério da Educação"/>
    <x v="53"/>
    <s v="6.320.751,52"/>
    <n v="50926366.229999997"/>
    <n v="41460836.770000003"/>
    <n v="963242"/>
    <s v=""/>
  </r>
  <r>
    <x v="6"/>
    <s v="26000 - Ministério da Educação"/>
    <x v="53"/>
    <s v="5.309.559,97"/>
    <n v="39402085.439999998"/>
    <n v="37705100.689999998"/>
    <n v="6082444.75"/>
    <s v=""/>
  </r>
  <r>
    <x v="0"/>
    <s v="26000 - Ministério da Educação"/>
    <x v="53"/>
    <s v="9.845.107,81"/>
    <n v="40188355.490000002"/>
    <n v="39831901.289999999"/>
    <n v="2530672.16"/>
    <s v=""/>
  </r>
  <r>
    <x v="7"/>
    <s v="26000 - Ministério da Educação"/>
    <x v="53"/>
    <s v="88.738.461,61"/>
    <n v="42709790.979999997"/>
    <n v="42004551.5"/>
    <n v="215163.17"/>
    <s v=""/>
  </r>
  <r>
    <x v="5"/>
    <s v="26000 - Ministério da Educação"/>
    <x v="53"/>
    <s v="43.253.096,34"/>
    <n v="60196999.170000002"/>
    <n v="54495133.159999996"/>
    <n v="836001"/>
    <s v=""/>
  </r>
  <r>
    <x v="2"/>
    <s v="26000 - Ministério da Educação"/>
    <x v="53"/>
    <s v="7.568.473,38"/>
    <n v="43387046.68"/>
    <n v="43981433.840000004"/>
    <n v="417465.44"/>
    <s v=""/>
  </r>
  <r>
    <x v="3"/>
    <s v="26000 - Ministério da Educação"/>
    <x v="53"/>
    <s v="7.019.941,61"/>
    <n v="44050307.600000001"/>
    <n v="53717170.170000002"/>
    <n v="1142542.74"/>
    <s v=""/>
  </r>
  <r>
    <x v="9"/>
    <s v="26000 - Ministério da Educação"/>
    <x v="53"/>
    <s v="309.375,44"/>
    <n v="36194936.359999999"/>
    <n v="32227579.829999998"/>
    <n v="10747336.689999999"/>
    <s v=""/>
  </r>
  <r>
    <x v="8"/>
    <s v="26000 - Ministério da Educação"/>
    <x v="53"/>
    <s v="387.188.847,12"/>
    <n v="37020704.009999998"/>
    <n v="8019398.2300000004"/>
    <n v="47907421.539999999"/>
    <s v=""/>
  </r>
  <r>
    <x v="1"/>
    <s v="26000 - Ministério da Educação"/>
    <x v="54"/>
    <s v="1.631.463,43"/>
    <n v="68478412.670000002"/>
    <n v="69000103.230000004"/>
    <n v="4036583.36"/>
    <s v=""/>
  </r>
  <r>
    <x v="10"/>
    <s v="26000 - Ministério da Educação"/>
    <x v="54"/>
    <s v="23.315.681,85"/>
    <n v="70672140.019999996"/>
    <n v="61318717.289999999"/>
    <n v="5634779.7400000002"/>
    <s v=""/>
  </r>
  <r>
    <x v="8"/>
    <s v="26000 - Ministério da Educação"/>
    <x v="54"/>
    <s v="698.928.193,92"/>
    <n v="53485430.590000004"/>
    <n v="10964836.619999999"/>
    <n v="79666596.359999999"/>
    <s v=""/>
  </r>
  <r>
    <x v="11"/>
    <s v="26000 - Ministério da Educação"/>
    <x v="54"/>
    <s v="17.785.907,35"/>
    <n v="62404971.149999999"/>
    <n v="58495070.909999996"/>
    <n v="4935810.46"/>
    <s v=""/>
  </r>
  <r>
    <x v="9"/>
    <s v="26000 - Ministério da Educação"/>
    <x v="54"/>
    <s v="4.473.392,01"/>
    <n v="52348509.219999999"/>
    <n v="46899643.219999999"/>
    <n v="20728552.440000001"/>
    <s v=""/>
  </r>
  <r>
    <x v="5"/>
    <s v="26000 - Ministério da Educação"/>
    <x v="54"/>
    <s v="77.881.220,54"/>
    <n v="92516686.5"/>
    <n v="86270650.400000006"/>
    <n v="5771384.5499999998"/>
    <s v=""/>
  </r>
  <r>
    <x v="6"/>
    <s v="26000 - Ministério da Educação"/>
    <x v="54"/>
    <s v="6.954.076,35"/>
    <n v="55256483.420000002"/>
    <n v="54089765.909999996"/>
    <n v="14383363.189999999"/>
    <s v=""/>
  </r>
  <r>
    <x v="7"/>
    <s v="26000 - Ministério da Educação"/>
    <x v="54"/>
    <s v="3.823.423,76"/>
    <n v="61415778.140000001"/>
    <n v="62605096.409999996"/>
    <n v="4560944.07"/>
    <s v=""/>
  </r>
  <r>
    <x v="2"/>
    <s v="26000 - Ministério da Educação"/>
    <x v="54"/>
    <s v="19.097.877,04"/>
    <n v="66310157.700000003"/>
    <n v="65455410.68"/>
    <n v="3928660.23"/>
    <s v=""/>
  </r>
  <r>
    <x v="3"/>
    <s v="26000 - Ministério da Educação"/>
    <x v="54"/>
    <s v="39.849.949,43"/>
    <n v="63770340.280000001"/>
    <n v="70987623.260000005"/>
    <n v="3530588.93"/>
    <s v=""/>
  </r>
  <r>
    <x v="0"/>
    <s v="26000 - Ministério da Educação"/>
    <x v="54"/>
    <s v="13.887.058,34"/>
    <n v="57379777.060000002"/>
    <n v="56222848.479999997"/>
    <n v="5640890.6500000004"/>
    <s v=""/>
  </r>
  <r>
    <x v="4"/>
    <s v="26000 - Ministério da Educação"/>
    <x v="54"/>
    <s v="6.090.036,00"/>
    <n v="107382755.31"/>
    <n v="82851272.799999997"/>
    <n v="2137751.65"/>
    <s v=""/>
  </r>
  <r>
    <x v="11"/>
    <s v="26000 - Ministério da Educação"/>
    <x v="55"/>
    <s v="14.874.586,42"/>
    <n v="50566418.060000002"/>
    <n v="45102594.490000002"/>
    <n v="1979213.84"/>
    <s v=""/>
  </r>
  <r>
    <x v="1"/>
    <s v="26000 - Ministério da Educação"/>
    <x v="55"/>
    <s v="1.034.346,46"/>
    <n v="46745556.490000002"/>
    <n v="47908922.960000001"/>
    <n v="906944.09"/>
    <s v=""/>
  </r>
  <r>
    <x v="0"/>
    <s v="26000 - Ministério da Educação"/>
    <x v="55"/>
    <s v="19.184.903,60"/>
    <n v="43826207.030000001"/>
    <n v="43906705.890000001"/>
    <n v="2792627.72"/>
    <s v=""/>
  </r>
  <r>
    <x v="6"/>
    <s v="26000 - Ministério da Educação"/>
    <x v="55"/>
    <s v="4.421.901,36"/>
    <n v="42314789.719999999"/>
    <n v="41018398.899999999"/>
    <n v="3945627.38"/>
    <s v=""/>
  </r>
  <r>
    <x v="9"/>
    <s v="26000 - Ministério da Educação"/>
    <x v="55"/>
    <s v="4.380.536,83"/>
    <n v="40825401.969999999"/>
    <n v="42081248.240000002"/>
    <n v="3382618.16"/>
    <s v=""/>
  </r>
  <r>
    <x v="8"/>
    <s v="26000 - Ministério da Educação"/>
    <x v="55"/>
    <s v="342.965.802,31"/>
    <n v="40392942.119999997"/>
    <n v="8417205.5800000001"/>
    <n v="48404833.939999998"/>
    <s v=""/>
  </r>
  <r>
    <x v="5"/>
    <s v="26000 - Ministério da Educação"/>
    <x v="55"/>
    <s v="- 6.122.581,47"/>
    <n v="36370553.719999999"/>
    <n v="32969665.359999999"/>
    <n v="997612.02"/>
    <s v=""/>
  </r>
  <r>
    <x v="2"/>
    <s v="26000 - Ministério da Educação"/>
    <x v="55"/>
    <s v="26.793.453,38"/>
    <n v="50147022.829999998"/>
    <n v="49562664.109999999"/>
    <n v="867190.59"/>
    <s v=""/>
  </r>
  <r>
    <x v="10"/>
    <s v="26000 - Ministério da Educação"/>
    <x v="55"/>
    <s v="8.502.481,71"/>
    <n v="55800224.659999996"/>
    <n v="44244146.530000001"/>
    <n v="1406283.72"/>
    <s v=""/>
  </r>
  <r>
    <x v="3"/>
    <s v="26000 - Ministério da Educação"/>
    <x v="55"/>
    <s v="82.661.753,76"/>
    <n v="48290476.880000003"/>
    <n v="56141969.950000003"/>
    <n v="1683950.51"/>
    <s v=""/>
  </r>
  <r>
    <x v="4"/>
    <s v="26000 - Ministério da Educação"/>
    <x v="55"/>
    <s v="56.916.120,43"/>
    <n v="84430257.180000007"/>
    <n v="71662880.540000007"/>
    <n v="613341.81999999995"/>
    <s v=""/>
  </r>
  <r>
    <x v="7"/>
    <s v="26000 - Ministério da Educação"/>
    <x v="55"/>
    <s v="130.480.428,55"/>
    <n v="95128798.079999998"/>
    <n v="95182941.650000006"/>
    <n v="1084661.9099999999"/>
    <s v=""/>
  </r>
  <r>
    <x v="3"/>
    <s v="26000 - Ministério da Educação"/>
    <x v="56"/>
    <s v="14.857.695,52"/>
    <n v="18795673.390000001"/>
    <n v="21774673.559999999"/>
    <n v="987242.15"/>
    <s v=""/>
  </r>
  <r>
    <x v="10"/>
    <s v="26000 - Ministério da Educação"/>
    <x v="56"/>
    <s v="4.048.858,98"/>
    <n v="21761863.27"/>
    <n v="18881629.379999999"/>
    <n v="717479.11"/>
    <s v=""/>
  </r>
  <r>
    <x v="5"/>
    <s v="26000 - Ministério da Educação"/>
    <x v="56"/>
    <s v="14.505.524,25"/>
    <n v="30588825.16"/>
    <n v="28322385.989999998"/>
    <n v="107342.29"/>
    <s v=""/>
  </r>
  <r>
    <x v="7"/>
    <s v="26000 - Ministério da Educação"/>
    <x v="56"/>
    <s v="3.300.421,62"/>
    <n v="19876909.079999998"/>
    <n v="27624144.890000001"/>
    <n v="687115.2"/>
    <s v=""/>
  </r>
  <r>
    <x v="4"/>
    <s v="26000 - Ministério da Educação"/>
    <x v="56"/>
    <s v="25.077.036,76"/>
    <n v="30914387.170000002"/>
    <n v="25244399.460000001"/>
    <n v="127212.06"/>
    <s v=""/>
  </r>
  <r>
    <x v="8"/>
    <s v="26000 - Ministério da Educação"/>
    <x v="56"/>
    <s v="184.956.969,52"/>
    <n v="16757830"/>
    <n v="3566728.49"/>
    <n v="21623605.73"/>
    <s v=""/>
  </r>
  <r>
    <x v="9"/>
    <s v="26000 - Ministério da Educação"/>
    <x v="56"/>
    <s v="2.097.255,60"/>
    <n v="16910170.710000001"/>
    <n v="16950580.420000002"/>
    <n v="2574619.2000000002"/>
    <s v=""/>
  </r>
  <r>
    <x v="6"/>
    <s v="26000 - Ministério da Educação"/>
    <x v="56"/>
    <s v="2.361.231,43"/>
    <n v="17961605.829999998"/>
    <n v="17427061.77"/>
    <n v="1890937.4"/>
    <s v=""/>
  </r>
  <r>
    <x v="0"/>
    <s v="26000 - Ministério da Educação"/>
    <x v="56"/>
    <s v="2.917.524,41"/>
    <n v="18144272.100000001"/>
    <n v="18088047.140000001"/>
    <n v="1305280.44"/>
    <s v=""/>
  </r>
  <r>
    <x v="2"/>
    <s v="26000 - Ministério da Educação"/>
    <x v="56"/>
    <s v="6.015.420,50"/>
    <n v="20476705.09"/>
    <n v="20212077.510000002"/>
    <n v="336206.3"/>
    <s v=""/>
  </r>
  <r>
    <x v="11"/>
    <s v="26000 - Ministério da Educação"/>
    <x v="56"/>
    <s v="8.043.291,49"/>
    <n v="19313608.07"/>
    <n v="18457945.190000001"/>
    <n v="6754169.96"/>
    <s v=""/>
  </r>
  <r>
    <x v="1"/>
    <s v="26000 - Ministério da Educação"/>
    <x v="56"/>
    <s v="1.057.463,14"/>
    <n v="27228780.66"/>
    <n v="19025525.579999998"/>
    <n v="485777.94"/>
    <s v=""/>
  </r>
  <r>
    <x v="8"/>
    <s v="26000 - Ministério da Educação"/>
    <x v="57"/>
    <s v="159.208.333,74"/>
    <n v="25153300.82"/>
    <n v="5232610.6900000004"/>
    <n v="30825856.969999999"/>
    <s v=""/>
  </r>
  <r>
    <x v="6"/>
    <s v="26000 - Ministério da Educação"/>
    <x v="57"/>
    <s v="2.683.722,18"/>
    <n v="26056362.690000001"/>
    <n v="25408666.82"/>
    <n v="5689828.9900000002"/>
    <s v=""/>
  </r>
  <r>
    <x v="11"/>
    <s v="26000 - Ministério da Educação"/>
    <x v="57"/>
    <s v="12.083.653,42"/>
    <n v="29400316.120000001"/>
    <n v="27169110.969999999"/>
    <n v="2006393.01"/>
    <s v=""/>
  </r>
  <r>
    <x v="2"/>
    <s v="26000 - Ministério da Educação"/>
    <x v="57"/>
    <s v="5.385.126,31"/>
    <n v="30050164.109999999"/>
    <n v="29496043.57"/>
    <n v="823779.51"/>
    <s v=""/>
  </r>
  <r>
    <x v="4"/>
    <s v="26000 - Ministério da Educação"/>
    <x v="57"/>
    <s v="16.347.263,23"/>
    <n v="44047107.439999998"/>
    <n v="35733376.670000002"/>
    <n v="660558.30000000005"/>
    <s v=""/>
  </r>
  <r>
    <x v="10"/>
    <s v="26000 - Ministério da Educação"/>
    <x v="57"/>
    <s v="8.812.066,05"/>
    <n v="35170220.850000001"/>
    <n v="29602384.239999998"/>
    <n v="850217.66"/>
    <s v=""/>
  </r>
  <r>
    <x v="3"/>
    <s v="26000 - Ministério da Educação"/>
    <x v="57"/>
    <s v="171.385.450,28"/>
    <n v="28892252.780000001"/>
    <n v="36191882.659999996"/>
    <n v="1788683.33"/>
    <s v=""/>
  </r>
  <r>
    <x v="5"/>
    <s v="26000 - Ministério da Educação"/>
    <x v="57"/>
    <s v="6.581.863,33"/>
    <n v="42519968.600000001"/>
    <n v="39865130"/>
    <n v="804815.1"/>
    <s v=""/>
  </r>
  <r>
    <x v="0"/>
    <s v="26000 - Ministério da Educação"/>
    <x v="57"/>
    <s v="6.434.292,61"/>
    <n v="27084539.59"/>
    <n v="26788215.579999998"/>
    <n v="2571013.0299999998"/>
    <s v=""/>
  </r>
  <r>
    <x v="1"/>
    <s v="26000 - Ministério da Educação"/>
    <x v="57"/>
    <s v="3.348.587,66"/>
    <n v="30174709.859999999"/>
    <n v="28481822.850000001"/>
    <n v="967659.8"/>
    <s v=""/>
  </r>
  <r>
    <x v="7"/>
    <s v="26000 - Ministério da Educação"/>
    <x v="57"/>
    <s v="2.053.553,88"/>
    <n v="29495750.059999999"/>
    <n v="30126929.57"/>
    <n v="651967.12"/>
    <s v=""/>
  </r>
  <r>
    <x v="9"/>
    <s v="26000 - Ministério da Educação"/>
    <x v="57"/>
    <s v="1.625.387,28"/>
    <n v="24866410.850000001"/>
    <n v="25214976.359999999"/>
    <n v="3053233.73"/>
    <s v=""/>
  </r>
  <r>
    <x v="8"/>
    <s v="26000 - Ministério da Educação"/>
    <x v="58"/>
    <s v="278.061.037,01"/>
    <n v="23124182.829999998"/>
    <n v="4484094.2300000004"/>
    <n v="30545947.41"/>
    <s v=""/>
  </r>
  <r>
    <x v="11"/>
    <s v="26000 - Ministério da Educação"/>
    <x v="58"/>
    <s v="12.772.452,24"/>
    <n v="28920436.379999999"/>
    <n v="27507215.579999998"/>
    <n v="2398646.89"/>
    <s v=""/>
  </r>
  <r>
    <x v="1"/>
    <s v="26000 - Ministério da Educação"/>
    <x v="58"/>
    <s v="6.593.155,23"/>
    <n v="29594137.920000002"/>
    <n v="27827774.149999999"/>
    <n v="1563029.98"/>
    <s v=""/>
  </r>
  <r>
    <x v="4"/>
    <s v="26000 - Ministério da Educação"/>
    <x v="58"/>
    <s v="26.929.751,32"/>
    <n v="38225196.100000001"/>
    <n v="29694306.579999998"/>
    <n v="1154712.42"/>
    <s v=""/>
  </r>
  <r>
    <x v="6"/>
    <s v="26000 - Ministério da Educação"/>
    <x v="58"/>
    <s v="3.615.941,51"/>
    <n v="24196650.600000001"/>
    <n v="23783781.280000001"/>
    <n v="6524158.6799999997"/>
    <s v=""/>
  </r>
  <r>
    <x v="10"/>
    <s v="26000 - Ministério da Educação"/>
    <x v="58"/>
    <s v="6.198.118,11"/>
    <n v="32479171.370000001"/>
    <n v="27866080.350000001"/>
    <n v="2293411"/>
    <s v=""/>
  </r>
  <r>
    <x v="3"/>
    <s v="26000 - Ministério da Educação"/>
    <x v="58"/>
    <s v="8.548.802,59"/>
    <n v="29019312.600000001"/>
    <n v="34443530.329999998"/>
    <n v="3065082.28"/>
    <s v=""/>
  </r>
  <r>
    <x v="2"/>
    <s v="26000 - Ministério da Educação"/>
    <x v="58"/>
    <s v="5.811.292,97"/>
    <n v="30814865.84"/>
    <n v="31933704.34"/>
    <n v="1997609.29"/>
    <s v=""/>
  </r>
  <r>
    <x v="5"/>
    <s v="26000 - Ministério da Educação"/>
    <x v="58"/>
    <s v="49.203.217,25"/>
    <n v="39789631.469999999"/>
    <n v="42219438.119999997"/>
    <n v="2340708.09"/>
    <s v=""/>
  </r>
  <r>
    <x v="0"/>
    <s v="26000 - Ministério da Educação"/>
    <x v="58"/>
    <s v="12.129.638,25"/>
    <n v="27679738.859999999"/>
    <n v="26843130.670000002"/>
    <n v="4118991.67"/>
    <s v=""/>
  </r>
  <r>
    <x v="7"/>
    <s v="26000 - Ministério da Educação"/>
    <x v="58"/>
    <s v="10.495.543,78"/>
    <n v="31837693.050000001"/>
    <n v="31759161.91"/>
    <n v="1736981.35"/>
    <s v=""/>
  </r>
  <r>
    <x v="9"/>
    <s v="26000 - Ministério da Educação"/>
    <x v="58"/>
    <s v="3.952.616,04"/>
    <n v="23569502.23"/>
    <n v="23626630.879999999"/>
    <n v="2867994.31"/>
    <s v=""/>
  </r>
  <r>
    <x v="9"/>
    <s v="26000 - Ministério da Educação"/>
    <x v="59"/>
    <s v="4.384.441,71"/>
    <n v="21525596.57"/>
    <n v="21396677.699999999"/>
    <n v="2254981.2599999998"/>
    <s v=""/>
  </r>
  <r>
    <x v="3"/>
    <s v="26000 - Ministério da Educação"/>
    <x v="59"/>
    <s v="5.228.854,21"/>
    <n v="24915575.050000001"/>
    <n v="29767963.559999999"/>
    <n v="1265787.6299999999"/>
    <s v=""/>
  </r>
  <r>
    <x v="7"/>
    <s v="26000 - Ministério da Educação"/>
    <x v="59"/>
    <s v="12.384.377,23"/>
    <n v="27087712.969999999"/>
    <n v="26825722.23"/>
    <n v="797330.88"/>
    <s v=""/>
  </r>
  <r>
    <x v="10"/>
    <s v="26000 - Ministério da Educação"/>
    <x v="59"/>
    <s v="7.308.326,51"/>
    <n v="30096170.719999999"/>
    <n v="25442759.91"/>
    <n v="1442470.88"/>
    <s v=""/>
  </r>
  <r>
    <x v="5"/>
    <s v="26000 - Ministério da Educação"/>
    <x v="59"/>
    <s v="8.779.555,91"/>
    <n v="34862122.810000002"/>
    <n v="31140879.68"/>
    <n v="344029.16"/>
    <s v=""/>
  </r>
  <r>
    <x v="6"/>
    <s v="26000 - Ministério da Educação"/>
    <x v="59"/>
    <s v="4.517.108,91"/>
    <n v="23181125.82"/>
    <n v="21408880.809999999"/>
    <n v="2409031.2799999998"/>
    <s v=""/>
  </r>
  <r>
    <x v="11"/>
    <s v="26000 - Ministério da Educação"/>
    <x v="59"/>
    <s v="54.012.874,39"/>
    <n v="25855990.420000002"/>
    <n v="24966240.300000001"/>
    <n v="1445936.17"/>
    <s v=""/>
  </r>
  <r>
    <x v="8"/>
    <s v="26000 - Ministério da Educação"/>
    <x v="59"/>
    <s v="209.974.297,10"/>
    <n v="20686902.890000001"/>
    <n v="4940141.63"/>
    <n v="28079916.199999999"/>
    <s v=""/>
  </r>
  <r>
    <x v="0"/>
    <s v="26000 - Ministério da Educação"/>
    <x v="59"/>
    <s v="12.092.366,31"/>
    <n v="22907751.350000001"/>
    <n v="23093987.359999999"/>
    <n v="1524929.83"/>
    <s v=""/>
  </r>
  <r>
    <x v="2"/>
    <s v="26000 - Ministério da Educação"/>
    <x v="59"/>
    <s v="5.374.163,10"/>
    <n v="27570998.059999999"/>
    <n v="26371025.239999998"/>
    <n v="645669.26"/>
    <s v=""/>
  </r>
  <r>
    <x v="4"/>
    <s v="26000 - Ministério da Educação"/>
    <x v="59"/>
    <s v="18.973.128,72"/>
    <n v="38871332.420000002"/>
    <n v="35239550.689999998"/>
    <n v="173909.98"/>
    <s v=""/>
  </r>
  <r>
    <x v="1"/>
    <s v="26000 - Ministério da Educação"/>
    <x v="59"/>
    <s v="4.949.428,58"/>
    <n v="25275609.66"/>
    <n v="24797922.030000001"/>
    <n v="344940.48"/>
    <s v=""/>
  </r>
  <r>
    <x v="3"/>
    <s v="26000 - Ministério da Educação"/>
    <x v="60"/>
    <s v="3.195.329,45"/>
    <n v="24254242.440000001"/>
    <n v="29531755.969999999"/>
    <n v="1396115.21"/>
    <s v=""/>
  </r>
  <r>
    <x v="8"/>
    <s v="26000 - Ministério da Educação"/>
    <x v="60"/>
    <s v="276.292.220,76"/>
    <n v="20904890.620000001"/>
    <n v="4405522.29"/>
    <n v="27781398.309999999"/>
    <s v=""/>
  </r>
  <r>
    <x v="0"/>
    <s v="26000 - Ministério da Educação"/>
    <x v="60"/>
    <s v="13.722.598,83"/>
    <n v="22296505"/>
    <n v="22005150.010000002"/>
    <n v="2256903.84"/>
    <s v=""/>
  </r>
  <r>
    <x v="2"/>
    <s v="26000 - Ministério da Educação"/>
    <x v="60"/>
    <s v="2.054.034,08"/>
    <n v="24687923.420000002"/>
    <n v="24577029.57"/>
    <n v="770583.22"/>
    <s v=""/>
  </r>
  <r>
    <x v="7"/>
    <s v="26000 - Ministério da Educação"/>
    <x v="60"/>
    <s v="1.327.583,08"/>
    <n v="24354436.710000001"/>
    <n v="24420993.84"/>
    <n v="467869.44"/>
    <s v=""/>
  </r>
  <r>
    <x v="9"/>
    <s v="26000 - Ministério da Educação"/>
    <x v="60"/>
    <s v="2.148.765,04"/>
    <n v="20982366.07"/>
    <n v="21231026.48"/>
    <n v="2368531.7000000002"/>
    <s v=""/>
  </r>
  <r>
    <x v="5"/>
    <s v="26000 - Ministério da Educação"/>
    <x v="60"/>
    <s v="11.247.711,11"/>
    <n v="32341881.16"/>
    <n v="37022099.200000003"/>
    <n v="1293447.3500000001"/>
    <s v=""/>
  </r>
  <r>
    <x v="6"/>
    <s v="26000 - Ministério da Educação"/>
    <x v="60"/>
    <s v="1.718.484,48"/>
    <n v="22287532.66"/>
    <n v="21599279.59"/>
    <n v="3755865.2"/>
    <s v=""/>
  </r>
  <r>
    <x v="10"/>
    <s v="26000 - Ministério da Educação"/>
    <x v="60"/>
    <s v="1.943.095,88"/>
    <n v="29339475.68"/>
    <n v="24124195.68"/>
    <n v="801536.06"/>
    <s v=""/>
  </r>
  <r>
    <x v="11"/>
    <s v="26000 - Ministério da Educação"/>
    <x v="60"/>
    <s v="6.705.676,63"/>
    <n v="23643122.239999998"/>
    <n v="22989434.629999999"/>
    <n v="3419319.59"/>
    <s v=""/>
  </r>
  <r>
    <x v="1"/>
    <s v="26000 - Ministério da Educação"/>
    <x v="60"/>
    <s v="- 158.097,34"/>
    <n v="23695337.170000002"/>
    <n v="23800246.23"/>
    <n v="380981.56"/>
    <s v=""/>
  </r>
  <r>
    <x v="4"/>
    <s v="26000 - Ministério da Educação"/>
    <x v="60"/>
    <s v="3.264.303,05"/>
    <n v="36771942.25"/>
    <n v="23627943.399999999"/>
    <n v="546383.17000000004"/>
    <s v=""/>
  </r>
  <r>
    <x v="11"/>
    <s v="26000 - Ministério da Educação"/>
    <x v="61"/>
    <s v="239.883.037,30"/>
    <n v="31797029.68"/>
    <n v="29372362.690000001"/>
    <n v="844745.93"/>
    <s v=""/>
  </r>
  <r>
    <x v="6"/>
    <s v="26000 - Ministério da Educação"/>
    <x v="61"/>
    <s v="17.102.482,38"/>
    <n v="28263655.329999998"/>
    <n v="31030487.32"/>
    <n v="5453359.46"/>
    <s v=""/>
  </r>
  <r>
    <x v="0"/>
    <s v="26000 - Ministério da Educação"/>
    <x v="61"/>
    <s v="29.967.618,34"/>
    <n v="29419355.690000001"/>
    <n v="25581068.539999999"/>
    <n v="2133592.1800000002"/>
    <s v=""/>
  </r>
  <r>
    <x v="10"/>
    <s v="26000 - Ministério da Educação"/>
    <x v="61"/>
    <s v="27.148.898,82"/>
    <n v="35583423.109999999"/>
    <n v="31540453.969999999"/>
    <n v="2074579.3"/>
    <s v=""/>
  </r>
  <r>
    <x v="8"/>
    <s v="26000 - Ministério da Educação"/>
    <x v="61"/>
    <s v="82.881.042,61"/>
    <n v="26148885.09"/>
    <n v="5691487.0700000003"/>
    <n v="34319903.950000003"/>
    <s v=""/>
  </r>
  <r>
    <x v="2"/>
    <s v="26000 - Ministério da Educação"/>
    <x v="61"/>
    <s v="9.609.336,37"/>
    <n v="32704593.609999999"/>
    <n v="32916735.129999999"/>
    <n v="351588.93"/>
    <s v=""/>
  </r>
  <r>
    <x v="5"/>
    <s v="26000 - Ministério da Educação"/>
    <x v="61"/>
    <s v="12.841.561,76"/>
    <n v="42973679.68"/>
    <n v="44235228.799999997"/>
    <n v="325060.46999999997"/>
    <s v=""/>
  </r>
  <r>
    <x v="3"/>
    <s v="26000 - Ministério da Educação"/>
    <x v="61"/>
    <s v="5.497.291,00"/>
    <n v="33599309.899999999"/>
    <n v="37215437.920000002"/>
    <n v="829639.37"/>
    <s v=""/>
  </r>
  <r>
    <x v="1"/>
    <s v="26000 - Ministério da Educação"/>
    <x v="61"/>
    <s v="- 3.949.543,48"/>
    <n v="32175053.510000002"/>
    <n v="32886927.07"/>
    <n v="840189.9"/>
    <s v=""/>
  </r>
  <r>
    <x v="4"/>
    <s v="26000 - Ministério da Educação"/>
    <x v="61"/>
    <s v="1.630.655,24"/>
    <n v="50516169.399999999"/>
    <n v="42029265.969999999"/>
    <n v="91226.6"/>
    <s v=""/>
  </r>
  <r>
    <x v="7"/>
    <s v="26000 - Ministério da Educação"/>
    <x v="61"/>
    <s v="3.358.087,39"/>
    <n v="32173856.98"/>
    <n v="31574389.620000001"/>
    <n v="134102.91"/>
    <s v=""/>
  </r>
  <r>
    <x v="9"/>
    <s v="26000 - Ministério da Educação"/>
    <x v="61"/>
    <s v="3.567.774,58"/>
    <n v="26112072.609999999"/>
    <n v="26513388.18"/>
    <n v="4190733.49"/>
    <s v=""/>
  </r>
  <r>
    <x v="10"/>
    <s v="26000 - Ministério da Educação"/>
    <x v="62"/>
    <s v="10.473.829,51"/>
    <n v="50155500.149999999"/>
    <n v="42253923.170000002"/>
    <n v="2115897.65"/>
    <s v=""/>
  </r>
  <r>
    <x v="3"/>
    <s v="26000 - Ministério da Educação"/>
    <x v="62"/>
    <s v="20.975.573,89"/>
    <n v="42375073.759999998"/>
    <n v="45658737.25"/>
    <n v="1463956.5"/>
    <s v=""/>
  </r>
  <r>
    <x v="0"/>
    <s v="26000 - Ministério da Educação"/>
    <x v="62"/>
    <s v="3.787.412,13"/>
    <n v="39224395.009999998"/>
    <n v="37985412.5"/>
    <n v="3872338.72"/>
    <s v=""/>
  </r>
  <r>
    <x v="6"/>
    <s v="26000 - Ministério da Educação"/>
    <x v="62"/>
    <s v="5.269.732,58"/>
    <n v="38970496.859999999"/>
    <n v="41932326.609999999"/>
    <n v="7287483.3799999999"/>
    <s v=""/>
  </r>
  <r>
    <x v="7"/>
    <s v="26000 - Ministério da Educação"/>
    <x v="62"/>
    <s v="9.906.374,92"/>
    <n v="42220889.729999997"/>
    <n v="43549271.880000003"/>
    <n v="1191914.69"/>
    <s v=""/>
  </r>
  <r>
    <x v="2"/>
    <s v="26000 - Ministério da Educação"/>
    <x v="62"/>
    <s v="1.573.105,69"/>
    <n v="41702570.810000002"/>
    <n v="42540666.75"/>
    <n v="965584.32"/>
    <s v=""/>
  </r>
  <r>
    <x v="4"/>
    <s v="26000 - Ministério da Educação"/>
    <x v="62"/>
    <s v="28.120.663,93"/>
    <n v="64469407.409999996"/>
    <n v="48731888.93"/>
    <n v="752071.69"/>
    <s v=""/>
  </r>
  <r>
    <x v="5"/>
    <s v="26000 - Ministério da Educação"/>
    <x v="62"/>
    <s v="18.682.156,15"/>
    <n v="62344701.789999999"/>
    <n v="58522379.32"/>
    <n v="1904565.61"/>
    <s v=""/>
  </r>
  <r>
    <x v="11"/>
    <s v="26000 - Ministério da Educação"/>
    <x v="62"/>
    <s v="10.247.776,77"/>
    <n v="41986861.159999996"/>
    <n v="40499982.850000001"/>
    <n v="3441778.78"/>
    <s v=""/>
  </r>
  <r>
    <x v="1"/>
    <s v="26000 - Ministério da Educação"/>
    <x v="62"/>
    <s v="- 2.728.183,44"/>
    <n v="43564444.969999999"/>
    <n v="47214504.200000003"/>
    <n v="954244.42"/>
    <s v=""/>
  </r>
  <r>
    <x v="8"/>
    <s v="26000 - Ministério da Educação"/>
    <x v="62"/>
    <s v="446.816.511,07"/>
    <n v="35935533.93"/>
    <n v="7024035.0099999998"/>
    <n v="43078680.799999997"/>
    <s v=""/>
  </r>
  <r>
    <x v="9"/>
    <s v="26000 - Ministério da Educação"/>
    <x v="62"/>
    <s v="3.756.199,82"/>
    <n v="37082228.130000003"/>
    <n v="31914531.390000001"/>
    <n v="8974923.2599999998"/>
    <s v=""/>
  </r>
  <r>
    <x v="9"/>
    <s v="26000 - Ministério da Educação"/>
    <x v="63"/>
    <s v="5.553.623,35"/>
    <n v="32279969.559999999"/>
    <n v="31732586.68"/>
    <n v="9156345.6600000001"/>
    <s v=""/>
  </r>
  <r>
    <x v="2"/>
    <s v="26000 - Ministério da Educação"/>
    <x v="63"/>
    <s v="17.641.052,09"/>
    <n v="34728415.439999998"/>
    <n v="35879633.710000001"/>
    <n v="713741.8"/>
    <s v=""/>
  </r>
  <r>
    <x v="5"/>
    <s v="26000 - Ministério da Educação"/>
    <x v="63"/>
    <s v="21.805.316,15"/>
    <n v="49997144.82"/>
    <n v="40010119.700000003"/>
    <n v="1869378.83"/>
    <s v=""/>
  </r>
  <r>
    <x v="8"/>
    <s v="26000 - Ministério da Educação"/>
    <x v="63"/>
    <s v="347.986.871,54"/>
    <n v="27643709.149999999"/>
    <n v="6970128.54"/>
    <n v="32349111.66"/>
    <s v=""/>
  </r>
  <r>
    <x v="11"/>
    <s v="26000 - Ministério da Educação"/>
    <x v="63"/>
    <s v="17.083.929,39"/>
    <n v="33804266.109999999"/>
    <n v="32919023.329999998"/>
    <n v="3218354.64"/>
    <s v=""/>
  </r>
  <r>
    <x v="10"/>
    <s v="26000 - Ministério da Educação"/>
    <x v="63"/>
    <s v="3.162.099,48"/>
    <n v="37595229.880000003"/>
    <n v="33452382.16"/>
    <n v="846038.83"/>
    <s v=""/>
  </r>
  <r>
    <x v="3"/>
    <s v="26000 - Ministério da Educação"/>
    <x v="63"/>
    <s v="14.577.045,68"/>
    <n v="33305419.460000001"/>
    <n v="38214735.310000002"/>
    <n v="2345742.5"/>
    <s v=""/>
  </r>
  <r>
    <x v="6"/>
    <s v="26000 - Ministério da Educação"/>
    <x v="63"/>
    <s v="3.734.036,54"/>
    <n v="30649727.57"/>
    <n v="30263024.559999999"/>
    <n v="2901945.09"/>
    <s v=""/>
  </r>
  <r>
    <x v="1"/>
    <s v="26000 - Ministério da Educação"/>
    <x v="63"/>
    <s v="- 5.334.122,39"/>
    <n v="37376850.619999997"/>
    <n v="35104674.170000002"/>
    <n v="531844.59"/>
    <s v=""/>
  </r>
  <r>
    <x v="4"/>
    <s v="26000 - Ministério da Educação"/>
    <x v="63"/>
    <s v="1.633.153,63"/>
    <n v="53991224.299999997"/>
    <n v="45141042.880000003"/>
    <n v="368326.1"/>
    <s v=""/>
  </r>
  <r>
    <x v="0"/>
    <s v="26000 - Ministério da Educação"/>
    <x v="63"/>
    <s v="31.369.939,27"/>
    <n v="32117825.34"/>
    <n v="31318220.530000001"/>
    <n v="4181789.78"/>
    <s v=""/>
  </r>
  <r>
    <x v="7"/>
    <s v="26000 - Ministério da Educação"/>
    <x v="63"/>
    <s v="5.829.937,26"/>
    <n v="34835388.450000003"/>
    <n v="34956081.5"/>
    <n v="1644619.92"/>
    <s v=""/>
  </r>
  <r>
    <x v="0"/>
    <s v="26000 - Ministério da Educação"/>
    <x v="64"/>
    <s v="18.306.428,40"/>
    <n v="42745474.030000001"/>
    <n v="42715579.43"/>
    <n v="3779372.04"/>
    <s v=""/>
  </r>
  <r>
    <x v="6"/>
    <s v="26000 - Ministério da Educação"/>
    <x v="64"/>
    <s v="3.818.643,13"/>
    <n v="42854884.82"/>
    <n v="41417167.869999997"/>
    <n v="4123273.8"/>
    <s v=""/>
  </r>
  <r>
    <x v="10"/>
    <s v="26000 - Ministério da Educação"/>
    <x v="64"/>
    <s v="243.543.392,24"/>
    <n v="52319248.270000003"/>
    <n v="46091090.68"/>
    <n v="209984.54"/>
    <s v=""/>
  </r>
  <r>
    <x v="1"/>
    <s v="26000 - Ministério da Educação"/>
    <x v="64"/>
    <s v="- 5.791.624,79"/>
    <n v="46631066.130000003"/>
    <n v="47660229.75"/>
    <n v="516812.1"/>
    <s v=""/>
  </r>
  <r>
    <x v="11"/>
    <s v="26000 - Ministério da Educação"/>
    <x v="64"/>
    <s v="6.262.582,22"/>
    <n v="46186430.210000001"/>
    <n v="43366014.490000002"/>
    <n v="370173.08"/>
    <s v=""/>
  </r>
  <r>
    <x v="7"/>
    <s v="26000 - Ministério da Educação"/>
    <x v="64"/>
    <s v="10.239.888,92"/>
    <n v="45735421.740000002"/>
    <n v="45718386.829999998"/>
    <n v="185965"/>
    <s v=""/>
  </r>
  <r>
    <x v="5"/>
    <s v="26000 - Ministério da Educação"/>
    <x v="64"/>
    <s v="42.329.447,86"/>
    <n v="84688635.709999993"/>
    <n v="59059338"/>
    <n v="2221772.42"/>
    <s v=""/>
  </r>
  <r>
    <x v="2"/>
    <s v="26000 - Ministério da Educação"/>
    <x v="64"/>
    <s v="35.280.190,18"/>
    <n v="46711998.07"/>
    <n v="46748098.439999998"/>
    <n v="697547.12"/>
    <s v=""/>
  </r>
  <r>
    <x v="8"/>
    <s v="26000 - Ministério da Educação"/>
    <x v="64"/>
    <s v="243.101.543,83"/>
    <n v="39633768.469999999"/>
    <n v="8236158.54"/>
    <n v="56492333.280000001"/>
    <s v=""/>
  </r>
  <r>
    <x v="9"/>
    <s v="26000 - Ministério da Educação"/>
    <x v="64"/>
    <s v="5.934.785,87"/>
    <n v="39745399.850000001"/>
    <n v="35685965.219999999"/>
    <n v="10118743.449999999"/>
    <s v=""/>
  </r>
  <r>
    <x v="3"/>
    <s v="26000 - Ministério da Educação"/>
    <x v="64"/>
    <s v="21.763.244,64"/>
    <n v="46638864.200000003"/>
    <n v="52255815.740000002"/>
    <n v="434079.43"/>
    <s v=""/>
  </r>
  <r>
    <x v="4"/>
    <s v="26000 - Ministério da Educação"/>
    <x v="64"/>
    <s v="5.932.667,26"/>
    <n v="66859869.25"/>
    <n v="54234449.149999999"/>
    <n v="278101.99"/>
    <s v=""/>
  </r>
  <r>
    <x v="6"/>
    <s v="26000 - Ministério da Educação"/>
    <x v="65"/>
    <s v="8.538.118,41"/>
    <n v="43228013"/>
    <n v="41619647.420000002"/>
    <n v="5172822.54"/>
    <s v=""/>
  </r>
  <r>
    <x v="10"/>
    <s v="26000 - Ministério da Educação"/>
    <x v="65"/>
    <s v="29.736.919,78"/>
    <n v="61725663.710000001"/>
    <n v="49382456.369999997"/>
    <n v="2027660.81"/>
    <s v=""/>
  </r>
  <r>
    <x v="2"/>
    <s v="26000 - Ministério da Educação"/>
    <x v="65"/>
    <s v="4.694.343,07"/>
    <n v="48692700.399999999"/>
    <n v="48357763.969999999"/>
    <n v="912565.58"/>
    <s v=""/>
  </r>
  <r>
    <x v="1"/>
    <s v="26000 - Ministério da Educação"/>
    <x v="65"/>
    <s v="- 2.385.966,86"/>
    <n v="46442503.740000002"/>
    <n v="46531002.490000002"/>
    <n v="891278.59"/>
    <s v=""/>
  </r>
  <r>
    <x v="7"/>
    <s v="26000 - Ministério da Educação"/>
    <x v="65"/>
    <s v="11.543.009,70"/>
    <n v="48186573.5"/>
    <n v="46318445.030000001"/>
    <n v="1233695.79"/>
    <s v=""/>
  </r>
  <r>
    <x v="3"/>
    <s v="26000 - Ministério da Educação"/>
    <x v="65"/>
    <s v="11.720.625,11"/>
    <n v="46095848.240000002"/>
    <n v="60749251.539999999"/>
    <n v="1797702.43"/>
    <s v=""/>
  </r>
  <r>
    <x v="9"/>
    <s v="26000 - Ministério da Educação"/>
    <x v="65"/>
    <s v="401.257.608,14"/>
    <n v="40274356.200000003"/>
    <n v="34923904.109999999"/>
    <n v="11009926.869999999"/>
    <s v=""/>
  </r>
  <r>
    <x v="8"/>
    <s v="26000 - Ministério da Educação"/>
    <x v="65"/>
    <s v="44.809.664,47"/>
    <n v="39273634.149999999"/>
    <n v="8598432.6899999995"/>
    <n v="48886469.829999998"/>
    <s v=""/>
  </r>
  <r>
    <x v="5"/>
    <s v="26000 - Ministério da Educação"/>
    <x v="65"/>
    <s v="31.091.956,88"/>
    <n v="61837004"/>
    <n v="63390431.880000003"/>
    <n v="1390236.42"/>
    <s v=""/>
  </r>
  <r>
    <x v="0"/>
    <s v="26000 - Ministério da Educação"/>
    <x v="65"/>
    <s v="48.200.216,71"/>
    <n v="44541882.090000004"/>
    <n v="43692181.380000003"/>
    <n v="3360062.51"/>
    <s v=""/>
  </r>
  <r>
    <x v="11"/>
    <s v="26000 - Ministério da Educação"/>
    <x v="65"/>
    <s v="7.786.283,34"/>
    <n v="50100658.490000002"/>
    <n v="46009058.229999997"/>
    <n v="3736335.8"/>
    <s v=""/>
  </r>
  <r>
    <x v="4"/>
    <s v="26000 - Ministério da Educação"/>
    <x v="65"/>
    <s v="47.053.718,47"/>
    <n v="72128391.659999996"/>
    <n v="57997975.109999999"/>
    <n v="806202.27"/>
    <s v=""/>
  </r>
  <r>
    <x v="9"/>
    <s v="26000 - Ministério da Educação"/>
    <x v="66"/>
    <s v="205.549.803,55"/>
    <n v="12200419.130000001"/>
    <n v="10818394.57"/>
    <n v="115652095.09"/>
    <s v=""/>
  </r>
  <r>
    <x v="2"/>
    <s v="26000 - Ministério da Educação"/>
    <x v="66"/>
    <s v="31.911.199,03"/>
    <n v="84529815.849999994"/>
    <n v="86506367.129999995"/>
    <n v="8830877.1400000006"/>
    <s v=""/>
  </r>
  <r>
    <x v="0"/>
    <s v="26000 - Ministério da Educação"/>
    <x v="66"/>
    <s v="249.336.257,82"/>
    <n v="24026184.75"/>
    <n v="24449788.960000001"/>
    <n v="37174835.990000002"/>
    <s v=""/>
  </r>
  <r>
    <x v="6"/>
    <s v="26000 - Ministério da Educação"/>
    <x v="66"/>
    <s v="24.935.574,25"/>
    <n v="24583764.48"/>
    <n v="22426827.550000001"/>
    <n v="41182884.840000004"/>
    <s v=""/>
  </r>
  <r>
    <x v="1"/>
    <s v="26000 - Ministério da Educação"/>
    <x v="66"/>
    <s v="- 78.350.702,90"/>
    <n v="27448763.34"/>
    <n v="29449201.98"/>
    <n v="695207.89"/>
    <s v=""/>
  </r>
  <r>
    <x v="3"/>
    <s v="26000 - Ministério da Educação"/>
    <x v="66"/>
    <s v="236.813.643,49"/>
    <n v="42423497.630000003"/>
    <n v="47848337.140000001"/>
    <n v="14822404.73"/>
    <s v=""/>
  </r>
  <r>
    <x v="5"/>
    <s v="26000 - Ministério da Educação"/>
    <x v="66"/>
    <s v="14.244.396,76"/>
    <n v="298972091.45999998"/>
    <n v="297037838.13"/>
    <n v="3056545.67"/>
    <s v=""/>
  </r>
  <r>
    <x v="4"/>
    <s v="26000 - Ministério da Educação"/>
    <x v="66"/>
    <s v="6.447.585,54"/>
    <n v="77199269.099999994"/>
    <n v="70393805.290000007"/>
    <n v="2427.84"/>
    <s v=""/>
  </r>
  <r>
    <x v="8"/>
    <s v="26000 - Ministério da Educação"/>
    <x v="66"/>
    <s v="91.556.924,46"/>
    <n v="7842273.1900000004"/>
    <n v="1562532.15"/>
    <n v="99666050.260000005"/>
    <s v=""/>
  </r>
  <r>
    <x v="10"/>
    <s v="26000 - Ministério da Educação"/>
    <x v="66"/>
    <s v="185.679.155,09"/>
    <n v="46393363.280000001"/>
    <n v="38514349.549999997"/>
    <n v="23100545.260000002"/>
    <s v=""/>
  </r>
  <r>
    <x v="11"/>
    <s v="26000 - Ministério da Educação"/>
    <x v="66"/>
    <s v="58.125.140,90"/>
    <n v="30856652.219999999"/>
    <n v="31449361.91"/>
    <n v="9397178.9499999993"/>
    <s v=""/>
  </r>
  <r>
    <x v="7"/>
    <s v="26000 - Ministério da Educação"/>
    <x v="66"/>
    <s v="- 18.275.353,40"/>
    <n v="51702858.829999998"/>
    <n v="48742728.909999996"/>
    <n v="4479908.0999999996"/>
    <s v=""/>
  </r>
  <r>
    <x v="10"/>
    <s v="26000 - Ministério da Educação"/>
    <x v="67"/>
    <s v="57.601.643,35"/>
    <n v="106457305.59999999"/>
    <n v="89150231.900000006"/>
    <n v="13391070.25"/>
    <s v=""/>
  </r>
  <r>
    <x v="1"/>
    <s v="26000 - Ministério da Educação"/>
    <x v="67"/>
    <s v="20.449.146,11"/>
    <n v="160110415.41"/>
    <n v="159374262.19"/>
    <n v="4964362.1399999997"/>
    <s v=""/>
  </r>
  <r>
    <x v="9"/>
    <s v="26000 - Ministério da Educação"/>
    <x v="67"/>
    <s v="29.634.387,45"/>
    <n v="65671563.899999999"/>
    <n v="48903356.469999999"/>
    <n v="26553566.98"/>
    <s v=""/>
  </r>
  <r>
    <x v="8"/>
    <s v="26000 - Ministério da Educação"/>
    <x v="67"/>
    <s v="481.134.564,75"/>
    <n v="56010885.82"/>
    <n v="15943615.939999999"/>
    <n v="268117938.55000001"/>
    <s v=""/>
  </r>
  <r>
    <x v="0"/>
    <s v="26000 - Ministério da Educação"/>
    <x v="67"/>
    <s v="167.259.240,44"/>
    <n v="101157898.89"/>
    <n v="82808176.730000004"/>
    <n v="11484851.310000001"/>
    <s v=""/>
  </r>
  <r>
    <x v="4"/>
    <s v="26000 - Ministério da Educação"/>
    <x v="67"/>
    <s v="77.387.585,56"/>
    <n v="127574583.3"/>
    <n v="110006992.87"/>
    <n v="836206.89"/>
    <s v=""/>
  </r>
  <r>
    <x v="5"/>
    <s v="26000 - Ministério da Educação"/>
    <x v="67"/>
    <s v="226.701.562,19"/>
    <n v="217466843.43000001"/>
    <n v="191046157.81999999"/>
    <n v="15521385.279999999"/>
    <s v=""/>
  </r>
  <r>
    <x v="11"/>
    <s v="26000 - Ministério da Educação"/>
    <x v="67"/>
    <s v="56.127.969,07"/>
    <n v="73373856.640000001"/>
    <n v="90118337.620000005"/>
    <n v="12947131.82"/>
    <s v=""/>
  </r>
  <r>
    <x v="2"/>
    <s v="26000 - Ministério da Educação"/>
    <x v="67"/>
    <s v="159.582.864,16"/>
    <n v="124458371.26000001"/>
    <n v="121723742.39"/>
    <n v="1094539.92"/>
    <s v=""/>
  </r>
  <r>
    <x v="6"/>
    <s v="26000 - Ministério da Educação"/>
    <x v="67"/>
    <s v="25.182.708,84"/>
    <n v="65369377.810000002"/>
    <n v="79790810.209999993"/>
    <n v="10112826.67"/>
    <s v=""/>
  </r>
  <r>
    <x v="3"/>
    <s v="26000 - Ministério da Educação"/>
    <x v="67"/>
    <s v="274.980.251,76"/>
    <n v="102092392.15000001"/>
    <n v="118667442.43000001"/>
    <n v="3819945.63"/>
    <s v=""/>
  </r>
  <r>
    <x v="7"/>
    <s v="26000 - Ministério da Educação"/>
    <x v="67"/>
    <s v="119.702.856,35"/>
    <n v="98747227.400000006"/>
    <n v="99367755.060000002"/>
    <n v="675346.21"/>
    <s v=""/>
  </r>
  <r>
    <x v="0"/>
    <s v="26000 - Ministério da Educação"/>
    <x v="68"/>
    <s v="12.001.511,05"/>
    <n v="14609203.529999999"/>
    <n v="14365889.720000001"/>
    <n v="661468.18999999994"/>
    <s v=""/>
  </r>
  <r>
    <x v="6"/>
    <s v="26000 - Ministério da Educação"/>
    <x v="68"/>
    <s v="- 2.160.001,00"/>
    <n v="14032973.689999999"/>
    <n v="13042949.449999999"/>
    <n v="1545754.8"/>
    <s v=""/>
  </r>
  <r>
    <x v="10"/>
    <s v="26000 - Ministério da Educação"/>
    <x v="68"/>
    <s v="950.413,31"/>
    <n v="18499133.27"/>
    <n v="15915251.859999999"/>
    <n v="496849.63"/>
    <s v=""/>
  </r>
  <r>
    <x v="7"/>
    <s v="26000 - Ministério da Educação"/>
    <x v="68"/>
    <s v="3.006.381,30"/>
    <n v="15053363.390000001"/>
    <n v="14974513.24"/>
    <n v="247598.44"/>
    <s v=""/>
  </r>
  <r>
    <x v="1"/>
    <s v="26000 - Ministério da Educação"/>
    <x v="68"/>
    <s v="4.478.155,40"/>
    <n v="15362008.67"/>
    <n v="15850706.699999999"/>
    <n v="1773802.18"/>
    <s v=""/>
  </r>
  <r>
    <x v="3"/>
    <s v="26000 - Ministério da Educação"/>
    <x v="68"/>
    <s v="81.982.020,26"/>
    <n v="15162076.01"/>
    <n v="17831552"/>
    <n v="869631.95"/>
    <s v=""/>
  </r>
  <r>
    <x v="9"/>
    <s v="26000 - Ministério da Educação"/>
    <x v="68"/>
    <s v="12.989.209,58"/>
    <n v="13540192.09"/>
    <n v="11652988.57"/>
    <n v="3701167.9"/>
    <s v=""/>
  </r>
  <r>
    <x v="5"/>
    <s v="26000 - Ministério da Educação"/>
    <x v="68"/>
    <s v="12.183.536,87"/>
    <n v="20930876.5"/>
    <n v="21929468.539999999"/>
    <n v="1194561.19"/>
    <s v=""/>
  </r>
  <r>
    <x v="2"/>
    <s v="26000 - Ministério da Educação"/>
    <x v="68"/>
    <s v="9.789.268,69"/>
    <n v="14872231.390000001"/>
    <n v="14801085.039999999"/>
    <n v="1253112.1200000001"/>
    <s v=""/>
  </r>
  <r>
    <x v="8"/>
    <s v="26000 - Ministério da Educação"/>
    <x v="68"/>
    <s v="69.056.858,15"/>
    <n v="12148704.300000001"/>
    <n v="2162437.79"/>
    <n v="16091897.18"/>
    <s v=""/>
  </r>
  <r>
    <x v="4"/>
    <s v="26000 - Ministério da Educação"/>
    <x v="68"/>
    <s v="3.585.051,90"/>
    <n v="28980334.329999998"/>
    <n v="24104008.02"/>
    <n v="1780392.71"/>
    <s v=""/>
  </r>
  <r>
    <x v="11"/>
    <s v="26000 - Ministério da Educação"/>
    <x v="68"/>
    <s v="4.059.800,65"/>
    <n v="15645946.390000001"/>
    <n v="15183517.1"/>
    <n v="1758960.66"/>
    <s v=""/>
  </r>
  <r>
    <x v="0"/>
    <s v="26000 - Ministério da Educação"/>
    <x v="69"/>
    <s v="61.961.425,34"/>
    <n v="185812244.88"/>
    <n v="174426739.00999999"/>
    <n v="7075367.54"/>
    <s v=""/>
  </r>
  <r>
    <x v="10"/>
    <s v="26000 - Ministério da Educação"/>
    <x v="69"/>
    <s v="73.797.041,22"/>
    <n v="230266520.44999999"/>
    <n v="184790989.99000001"/>
    <n v="8081338.6799999997"/>
    <s v=""/>
  </r>
  <r>
    <x v="6"/>
    <s v="26000 - Ministério da Educação"/>
    <x v="69"/>
    <s v="45.283.727,18"/>
    <n v="176000531.61000001"/>
    <n v="177070183.18000001"/>
    <n v="11344132.859999999"/>
    <s v=""/>
  </r>
  <r>
    <x v="1"/>
    <s v="26000 - Ministério da Educação"/>
    <x v="69"/>
    <s v="38.421.935,38"/>
    <n v="196564732.86000001"/>
    <n v="184115335.56"/>
    <n v="1031223.39"/>
    <s v=""/>
  </r>
  <r>
    <x v="2"/>
    <s v="26000 - Ministério da Educação"/>
    <x v="69"/>
    <s v="44.912.550,90"/>
    <n v="175758980.43000001"/>
    <n v="180787112.47999999"/>
    <n v="301360.03000000003"/>
    <s v=""/>
  </r>
  <r>
    <x v="7"/>
    <s v="26000 - Ministério da Educação"/>
    <x v="69"/>
    <s v="18.295.180,33"/>
    <n v="177026880.16"/>
    <n v="187860344.43000001"/>
    <n v="392876.78"/>
    <s v=""/>
  </r>
  <r>
    <x v="4"/>
    <s v="26000 - Ministério da Educação"/>
    <x v="69"/>
    <s v="6.343.856,41"/>
    <n v="264992782.38999999"/>
    <n v="204804381.02000001"/>
    <n v="110271.63"/>
    <s v=""/>
  </r>
  <r>
    <x v="9"/>
    <s v="26000 - Ministério da Educação"/>
    <x v="69"/>
    <s v="24.728.375,43"/>
    <n v="160746446.41999999"/>
    <n v="143731141.80000001"/>
    <n v="32847800.25"/>
    <s v=""/>
  </r>
  <r>
    <x v="8"/>
    <s v="26000 - Ministério da Educação"/>
    <x v="69"/>
    <s v="1.849.497.382,76"/>
    <n v="151534536.16"/>
    <n v="26068171.870000001"/>
    <n v="168254016.49000001"/>
    <s v=""/>
  </r>
  <r>
    <x v="11"/>
    <s v="26000 - Ministério da Educação"/>
    <x v="69"/>
    <s v="115.455.618,30"/>
    <n v="190715871.78999999"/>
    <n v="182050023.56"/>
    <n v="8614752.5199999996"/>
    <s v=""/>
  </r>
  <r>
    <x v="3"/>
    <s v="26000 - Ministério da Educação"/>
    <x v="69"/>
    <s v="31.268.180,69"/>
    <n v="179459607.69"/>
    <n v="236113748.58000001"/>
    <n v="691195.33"/>
    <s v=""/>
  </r>
  <r>
    <x v="5"/>
    <s v="26000 - Ministério da Educação"/>
    <x v="69"/>
    <s v="37.880.681,29"/>
    <n v="207903631.47999999"/>
    <n v="255318880.11000001"/>
    <n v="1005050.54"/>
    <s v=""/>
  </r>
  <r>
    <x v="2"/>
    <s v="26000 - Ministério da Educação"/>
    <x v="70"/>
    <s v="38.123.764,38"/>
    <n v="29874071.34"/>
    <n v="29204937.469999999"/>
    <n v="551390.92000000004"/>
    <s v=""/>
  </r>
  <r>
    <x v="3"/>
    <s v="26000 - Ministério da Educação"/>
    <x v="70"/>
    <s v="8.685.112,25"/>
    <n v="28438999.789999999"/>
    <n v="35067444.460000001"/>
    <n v="1842940.85"/>
    <s v=""/>
  </r>
  <r>
    <x v="9"/>
    <s v="26000 - Ministério da Educação"/>
    <x v="70"/>
    <s v="57.842.621,55"/>
    <n v="23604395.899999999"/>
    <n v="21198406.100000001"/>
    <n v="7310548.04"/>
    <s v=""/>
  </r>
  <r>
    <x v="11"/>
    <s v="26000 - Ministério da Educação"/>
    <x v="70"/>
    <s v="135.647.325,07"/>
    <n v="28627265.640000001"/>
    <n v="26793398.59"/>
    <n v="3002449.3"/>
    <s v=""/>
  </r>
  <r>
    <x v="1"/>
    <s v="26000 - Ministério da Educação"/>
    <x v="70"/>
    <s v="4.268.708,50"/>
    <n v="29387929.260000002"/>
    <n v="28288828.719999999"/>
    <n v="1167659.3799999999"/>
    <s v=""/>
  </r>
  <r>
    <x v="6"/>
    <s v="26000 - Ministério da Educação"/>
    <x v="70"/>
    <s v="8.541.455,12"/>
    <n v="24367542.329999998"/>
    <n v="23949713.859999999"/>
    <n v="2987430.57"/>
    <s v=""/>
  </r>
  <r>
    <x v="0"/>
    <s v="26000 - Ministério da Educação"/>
    <x v="70"/>
    <s v="10.254.394,14"/>
    <n v="25696971.989999998"/>
    <n v="25120602.539999999"/>
    <n v="3209080.41"/>
    <s v=""/>
  </r>
  <r>
    <x v="8"/>
    <s v="26000 - Ministério da Educação"/>
    <x v="70"/>
    <s v="41.274.822,42"/>
    <n v="23613499.010000002"/>
    <n v="4928943.6399999997"/>
    <n v="31627538.98"/>
    <s v=""/>
  </r>
  <r>
    <x v="10"/>
    <s v="26000 - Ministério da Educação"/>
    <x v="70"/>
    <s v="18.192.624,89"/>
    <n v="34760121.189999998"/>
    <n v="27881633.699999999"/>
    <n v="2004722.44"/>
    <s v=""/>
  </r>
  <r>
    <x v="4"/>
    <s v="26000 - Ministério da Educação"/>
    <x v="70"/>
    <s v="26.531.961,07"/>
    <n v="41272470.579999998"/>
    <n v="33771899.590000004"/>
    <n v="238160"/>
    <s v=""/>
  </r>
  <r>
    <x v="5"/>
    <s v="26000 - Ministério da Educação"/>
    <x v="70"/>
    <s v="27.217.482,54"/>
    <n v="37728783.280000001"/>
    <n v="40085086.5"/>
    <n v="1217858.98"/>
    <s v=""/>
  </r>
  <r>
    <x v="7"/>
    <s v="26000 - Ministério da Educação"/>
    <x v="70"/>
    <s v="3.483.430,21"/>
    <n v="28462766.260000002"/>
    <n v="28881244.219999999"/>
    <n v="349608.82"/>
    <s v=""/>
  </r>
  <r>
    <x v="0"/>
    <s v="26000 - Ministério da Educação"/>
    <x v="71"/>
    <s v="42.029.080,50"/>
    <n v="15416565.640000001"/>
    <n v="16219788.98"/>
    <n v="1566748.21"/>
    <s v=""/>
  </r>
  <r>
    <x v="10"/>
    <s v="26000 - Ministério da Educação"/>
    <x v="71"/>
    <s v="3.177.958,67"/>
    <n v="18778697.210000001"/>
    <n v="15517285.810000001"/>
    <n v="2648372.2000000002"/>
    <s v=""/>
  </r>
  <r>
    <x v="1"/>
    <s v="26000 - Ministério da Educação"/>
    <x v="71"/>
    <s v="1.476.955,72"/>
    <n v="16342802.42"/>
    <n v="14832386.02"/>
    <n v="1043301.73"/>
    <s v=""/>
  </r>
  <r>
    <x v="5"/>
    <s v="26000 - Ministério da Educação"/>
    <x v="71"/>
    <s v="3.078.093,72"/>
    <n v="19133097.489999998"/>
    <n v="21741585.059999999"/>
    <n v="38293.269999999997"/>
    <s v=""/>
  </r>
  <r>
    <x v="8"/>
    <s v="26000 - Ministério da Educação"/>
    <x v="71"/>
    <s v="67.071.743,55"/>
    <n v="13744569.24"/>
    <n v="3309528.3"/>
    <n v="16251820.93"/>
    <s v=""/>
  </r>
  <r>
    <x v="2"/>
    <s v="26000 - Ministério da Educação"/>
    <x v="71"/>
    <s v="2.467.962,42"/>
    <n v="16506192.4"/>
    <n v="16468713.15"/>
    <n v="70675.95"/>
    <s v=""/>
  </r>
  <r>
    <x v="9"/>
    <s v="26000 - Ministério da Educação"/>
    <x v="71"/>
    <s v="2.881.106,99"/>
    <n v="15756757.630000001"/>
    <n v="13307106.98"/>
    <n v="2786710.3"/>
    <s v=""/>
  </r>
  <r>
    <x v="11"/>
    <s v="26000 - Ministério da Educação"/>
    <x v="71"/>
    <s v="10.218.463,49"/>
    <n v="16167264.83"/>
    <n v="15196117.960000001"/>
    <n v="895542.46"/>
    <s v=""/>
  </r>
  <r>
    <x v="4"/>
    <s v="26000 - Ministério da Educação"/>
    <x v="71"/>
    <s v="9.525.552,39"/>
    <n v="23816591.120000001"/>
    <n v="17571900.390000001"/>
    <n v="6631.56"/>
    <s v=""/>
  </r>
  <r>
    <x v="6"/>
    <s v="26000 - Ministério da Educação"/>
    <x v="71"/>
    <s v="3.742.794,41"/>
    <n v="15150469.869999999"/>
    <n v="14766250.98"/>
    <n v="3874968.03"/>
    <s v=""/>
  </r>
  <r>
    <x v="7"/>
    <s v="26000 - Ministério da Educação"/>
    <x v="71"/>
    <s v="2.450.352,82"/>
    <n v="17569801.780000001"/>
    <n v="18580443.370000001"/>
    <n v="512973.58"/>
    <s v=""/>
  </r>
  <r>
    <x v="3"/>
    <s v="26000 - Ministério da Educação"/>
    <x v="71"/>
    <s v="67.239.011,19"/>
    <n v="16613579.98"/>
    <n v="21185588.789999999"/>
    <n v="1956107.93"/>
    <s v=""/>
  </r>
  <r>
    <x v="4"/>
    <s v="26000 - Ministério da Educação"/>
    <x v="72"/>
    <s v="84.346.799,82"/>
    <n v="257596820.18000001"/>
    <n v="202711258.88"/>
    <n v="1196027.7"/>
    <s v=""/>
  </r>
  <r>
    <x v="9"/>
    <s v="26000 - Ministério da Educação"/>
    <x v="72"/>
    <s v="1.803.124.084,07"/>
    <n v="159139317.28"/>
    <n v="142581660.90000001"/>
    <n v="27681163.039999999"/>
    <s v=""/>
  </r>
  <r>
    <x v="5"/>
    <s v="26000 - Ministério da Educação"/>
    <x v="72"/>
    <s v="42.363.272,34"/>
    <n v="224349499.5"/>
    <n v="215815287.94"/>
    <n v="9572085.9600000009"/>
    <s v=""/>
  </r>
  <r>
    <x v="1"/>
    <s v="26000 - Ministério da Educação"/>
    <x v="72"/>
    <s v="3.310.728,57"/>
    <n v="172869706.38"/>
    <n v="171718939.78999999"/>
    <n v="2831394.5"/>
    <s v=""/>
  </r>
  <r>
    <x v="10"/>
    <s v="26000 - Ministério da Educação"/>
    <x v="72"/>
    <s v="28.480.423,93"/>
    <n v="207531347.16999999"/>
    <n v="172368974.97"/>
    <n v="3738255.92"/>
    <s v=""/>
  </r>
  <r>
    <x v="11"/>
    <s v="26000 - Ministério da Educação"/>
    <x v="72"/>
    <s v="23.520.807,42"/>
    <n v="174885125.31999999"/>
    <n v="170288398.28"/>
    <n v="5293009.07"/>
    <s v=""/>
  </r>
  <r>
    <x v="6"/>
    <s v="26000 - Ministério da Educação"/>
    <x v="72"/>
    <s v="24.812.253,73"/>
    <n v="166000827.87"/>
    <n v="161831058.66"/>
    <n v="10058315.140000001"/>
    <s v=""/>
  </r>
  <r>
    <x v="2"/>
    <s v="26000 - Ministério da Educação"/>
    <x v="72"/>
    <s v="21.940.177,47"/>
    <n v="179833502.78999999"/>
    <n v="179905724.99000001"/>
    <n v="1725194.77"/>
    <s v=""/>
  </r>
  <r>
    <x v="0"/>
    <s v="26000 - Ministério da Educação"/>
    <x v="72"/>
    <s v="50.690.738,65"/>
    <n v="167135253.53999999"/>
    <n v="166574685.58000001"/>
    <n v="6722817.75"/>
    <s v=""/>
  </r>
  <r>
    <x v="3"/>
    <s v="26000 - Ministério da Educação"/>
    <x v="72"/>
    <s v="27.487.120,32"/>
    <n v="172686795.94999999"/>
    <n v="209767025.63"/>
    <n v="6364792.6200000001"/>
    <s v=""/>
  </r>
  <r>
    <x v="7"/>
    <s v="26000 - Ministério da Educação"/>
    <x v="72"/>
    <s v="8.266.077,17"/>
    <n v="174057849.69"/>
    <n v="172128486.28"/>
    <n v="2034781.53"/>
    <s v=""/>
  </r>
  <r>
    <x v="8"/>
    <s v="26000 - Ministério da Educação"/>
    <x v="72"/>
    <s v="172.144.193,83"/>
    <n v="160464361"/>
    <n v="26994377.530000001"/>
    <n v="203662417.19999999"/>
    <s v=""/>
  </r>
  <r>
    <x v="10"/>
    <s v="26000 - Ministério da Educação"/>
    <x v="73"/>
    <s v="23.868.607,68"/>
    <n v="116287407.8"/>
    <n v="93990946.700000003"/>
    <n v="894919.56"/>
    <s v=""/>
  </r>
  <r>
    <x v="8"/>
    <s v="26000 - Ministério da Educação"/>
    <x v="73"/>
    <s v="1.023.428.980,11"/>
    <n v="81608122.599999994"/>
    <n v="16907827.199999999"/>
    <n v="97561834.120000005"/>
    <s v=""/>
  </r>
  <r>
    <x v="11"/>
    <s v="26000 - Ministério da Educação"/>
    <x v="73"/>
    <s v="27.043.892,04"/>
    <n v="94080437.319999993"/>
    <n v="87136950.799999997"/>
    <n v="909700.5"/>
    <s v=""/>
  </r>
  <r>
    <x v="2"/>
    <s v="26000 - Ministério da Educação"/>
    <x v="73"/>
    <s v="14.337.524,11"/>
    <n v="89247023.260000005"/>
    <n v="101277710.59"/>
    <n v="746778.18"/>
    <s v=""/>
  </r>
  <r>
    <x v="7"/>
    <s v="26000 - Ministério da Educação"/>
    <x v="73"/>
    <s v="22.296.397,07"/>
    <n v="104400282.7"/>
    <n v="92447914.450000003"/>
    <n v="876296.06"/>
    <s v=""/>
  </r>
  <r>
    <x v="3"/>
    <s v="26000 - Ministério da Educação"/>
    <x v="73"/>
    <s v="10.154.589,43"/>
    <n v="93371140.549999997"/>
    <n v="120504354.41"/>
    <n v="1945907.79"/>
    <s v=""/>
  </r>
  <r>
    <x v="5"/>
    <s v="26000 - Ministério da Educação"/>
    <x v="73"/>
    <s v="53.607.751,32"/>
    <n v="129149259.34999999"/>
    <n v="116290104.84"/>
    <n v="1038465.14"/>
    <s v=""/>
  </r>
  <r>
    <x v="0"/>
    <s v="26000 - Ministério da Educação"/>
    <x v="73"/>
    <s v="49.949.913,10"/>
    <n v="84140007.980000004"/>
    <n v="85505493.870000005"/>
    <n v="4434852.12"/>
    <s v=""/>
  </r>
  <r>
    <x v="6"/>
    <s v="26000 - Ministério da Educação"/>
    <x v="73"/>
    <s v="6.393.963,10"/>
    <n v="89063232.180000007"/>
    <n v="86529353.359999999"/>
    <n v="8300809.75"/>
    <s v=""/>
  </r>
  <r>
    <x v="9"/>
    <s v="26000 - Ministério da Educação"/>
    <x v="73"/>
    <s v="11.595.475,32"/>
    <n v="81079675.069999993"/>
    <n v="80952267.319999993"/>
    <n v="6457115.9900000002"/>
    <s v=""/>
  </r>
  <r>
    <x v="1"/>
    <s v="26000 - Ministério da Educação"/>
    <x v="73"/>
    <s v="3.125.291,39"/>
    <n v="89167249.670000002"/>
    <n v="88230936.459999993"/>
    <n v="969679.19"/>
    <s v=""/>
  </r>
  <r>
    <x v="4"/>
    <s v="26000 - Ministério da Educação"/>
    <x v="73"/>
    <s v="- 8.478.082,94"/>
    <n v="133521777.73999999"/>
    <n v="103513651.73999999"/>
    <n v="1022650.69"/>
    <s v=""/>
  </r>
  <r>
    <x v="7"/>
    <s v="26000 - Ministério da Educação"/>
    <x v="74"/>
    <s v="44.970.366,42"/>
    <n v="25476706.920000002"/>
    <n v="24422097.219999999"/>
    <n v="1696531.58"/>
    <s v=""/>
  </r>
  <r>
    <x v="6"/>
    <s v="26000 - Ministério da Educação"/>
    <x v="74"/>
    <s v="861.914,94"/>
    <n v="22416736.559999999"/>
    <n v="21645897.59"/>
    <n v="1349920.37"/>
    <s v=""/>
  </r>
  <r>
    <x v="3"/>
    <s v="26000 - Ministério da Educação"/>
    <x v="74"/>
    <s v="15.478.585,84"/>
    <n v="23712269.530000001"/>
    <n v="30530172.09"/>
    <n v="1439711.55"/>
    <s v=""/>
  </r>
  <r>
    <x v="4"/>
    <s v="26000 - Ministério da Educação"/>
    <x v="74"/>
    <s v="13.012.248,94"/>
    <n v="37105266.009999998"/>
    <n v="28250457.870000001"/>
    <n v="794179.77"/>
    <s v=""/>
  </r>
  <r>
    <x v="9"/>
    <s v="26000 - Ministério da Educação"/>
    <x v="74"/>
    <s v="3.925.131,54"/>
    <n v="19824646.129999999"/>
    <n v="18496245.48"/>
    <n v="5811617.9000000004"/>
    <s v=""/>
  </r>
  <r>
    <x v="11"/>
    <s v="26000 - Ministério da Educação"/>
    <x v="74"/>
    <s v="12.542.423,15"/>
    <n v="25220567.289999999"/>
    <n v="22938680.609999999"/>
    <n v="1196469.1000000001"/>
    <s v=""/>
  </r>
  <r>
    <x v="10"/>
    <s v="26000 - Ministério da Educação"/>
    <x v="74"/>
    <s v="11.303.619,76"/>
    <n v="30559518.489999998"/>
    <n v="24666030.690000001"/>
    <n v="919074.39"/>
    <s v=""/>
  </r>
  <r>
    <x v="2"/>
    <s v="26000 - Ministério da Educação"/>
    <x v="74"/>
    <s v="2.257.728,98"/>
    <n v="23687966.710000001"/>
    <n v="23936756.190000001"/>
    <n v="3716141.61"/>
    <s v=""/>
  </r>
  <r>
    <x v="5"/>
    <s v="26000 - Ministério da Educação"/>
    <x v="74"/>
    <s v="9.133.815,69"/>
    <n v="31161659.18"/>
    <n v="31689247.010000002"/>
    <n v="121335.77"/>
    <s v=""/>
  </r>
  <r>
    <x v="8"/>
    <s v="26000 - Ministério da Educação"/>
    <x v="74"/>
    <s v="191.292.587,67"/>
    <n v="21394932.899999999"/>
    <n v="4796882.0999999996"/>
    <n v="28805564.289999999"/>
    <s v=""/>
  </r>
  <r>
    <x v="0"/>
    <s v="26000 - Ministério da Educação"/>
    <x v="74"/>
    <s v="7.209.577,63"/>
    <n v="22894532.559999999"/>
    <n v="23220170.84"/>
    <n v="1949824.38"/>
    <s v=""/>
  </r>
  <r>
    <x v="1"/>
    <s v="26000 - Ministério da Educação"/>
    <x v="74"/>
    <s v="6.201.935,22"/>
    <n v="22542720.510000002"/>
    <n v="22393462.890000001"/>
    <n v="1259242.78"/>
    <s v=""/>
  </r>
  <r>
    <x v="3"/>
    <s v="26000 - Ministério da Educação"/>
    <x v="75"/>
    <s v="29.135.833,69"/>
    <n v="67456520.760000005"/>
    <n v="83957535.769999996"/>
    <n v="732022.08"/>
    <s v=""/>
  </r>
  <r>
    <x v="8"/>
    <s v="26000 - Ministério da Educação"/>
    <x v="75"/>
    <s v="829.106.412,40"/>
    <n v="65592955.140000001"/>
    <n v="13769031.060000001"/>
    <n v="85731459.640000001"/>
    <s v=""/>
  </r>
  <r>
    <x v="7"/>
    <s v="26000 - Ministério da Educação"/>
    <x v="75"/>
    <s v="7.028.140,35"/>
    <n v="71467025.859999999"/>
    <n v="73471533.700000003"/>
    <n v="1422321.31"/>
    <s v=""/>
  </r>
  <r>
    <x v="4"/>
    <s v="26000 - Ministério da Educação"/>
    <x v="75"/>
    <s v="1.181.942,39"/>
    <n v="106592032.69"/>
    <n v="85555171.659999996"/>
    <n v="811684.75"/>
    <s v=""/>
  </r>
  <r>
    <x v="9"/>
    <s v="26000 - Ministério da Educação"/>
    <x v="75"/>
    <s v="4.915.355,81"/>
    <n v="65833687.829999998"/>
    <n v="58820810.979999997"/>
    <n v="12455341.789999999"/>
    <s v=""/>
  </r>
  <r>
    <x v="6"/>
    <s v="26000 - Ministério da Educação"/>
    <x v="75"/>
    <s v="6.673.522,91"/>
    <n v="67851453.920000002"/>
    <n v="67250771.329999998"/>
    <n v="5860793.5099999998"/>
    <s v=""/>
  </r>
  <r>
    <x v="11"/>
    <s v="26000 - Ministério da Educação"/>
    <x v="75"/>
    <s v="20.152.044,97"/>
    <n v="79655919.780000001"/>
    <n v="69626157.670000002"/>
    <n v="4869765.38"/>
    <s v=""/>
  </r>
  <r>
    <x v="5"/>
    <s v="26000 - Ministério da Educação"/>
    <x v="75"/>
    <s v="16.435.356,21"/>
    <n v="96959001.760000005"/>
    <n v="89783288.349999994"/>
    <n v="909546.6"/>
    <s v=""/>
  </r>
  <r>
    <x v="10"/>
    <s v="26000 - Ministério da Educação"/>
    <x v="75"/>
    <s v="2.088.324,11"/>
    <n v="84279053.489999995"/>
    <n v="71814124.989999995"/>
    <n v="1843374.86"/>
    <s v=""/>
  </r>
  <r>
    <x v="1"/>
    <s v="26000 - Ministério da Educação"/>
    <x v="75"/>
    <s v="4.808.445,52"/>
    <n v="74636736.099999994"/>
    <n v="74944239.689999998"/>
    <n v="2040365.24"/>
    <s v=""/>
  </r>
  <r>
    <x v="0"/>
    <s v="26000 - Ministério da Educação"/>
    <x v="75"/>
    <s v="7.153.288,43"/>
    <n v="69033568.120000005"/>
    <n v="68487981.129999995"/>
    <n v="1826868.29"/>
    <s v=""/>
  </r>
  <r>
    <x v="2"/>
    <s v="26000 - Ministério da Educação"/>
    <x v="75"/>
    <s v="13.621.382,56"/>
    <n v="76277687.939999998"/>
    <n v="72396358.549999997"/>
    <n v="1078352.6100000001"/>
    <s v=""/>
  </r>
  <r>
    <x v="11"/>
    <s v="26000 - Ministério da Educação"/>
    <x v="76"/>
    <s v="4.263.907,74"/>
    <n v="11214949.4"/>
    <n v="10380508.130000001"/>
    <n v="805478.55"/>
    <s v=""/>
  </r>
  <r>
    <x v="6"/>
    <s v="26000 - Ministério da Educação"/>
    <x v="76"/>
    <s v="1.563.428,28"/>
    <n v="9639202.7899999991"/>
    <n v="10320084.85"/>
    <n v="899966.27"/>
    <s v=""/>
  </r>
  <r>
    <x v="9"/>
    <s v="26000 - Ministério da Educação"/>
    <x v="76"/>
    <s v="46.344.305,11"/>
    <n v="10578816.279999999"/>
    <n v="8384128.3799999999"/>
    <n v="2034933.77"/>
    <s v=""/>
  </r>
  <r>
    <x v="4"/>
    <s v="26000 - Ministério da Educação"/>
    <x v="76"/>
    <s v="3.985.958,54"/>
    <n v="13851674.67"/>
    <n v="11170681.039999999"/>
    <n v="569449.49"/>
    <s v=""/>
  </r>
  <r>
    <x v="2"/>
    <s v="26000 - Ministério da Educação"/>
    <x v="76"/>
    <s v="19.967.507,39"/>
    <n v="10436704.67"/>
    <n v="10612067.91"/>
    <n v="1021653.87"/>
    <s v=""/>
  </r>
  <r>
    <x v="7"/>
    <s v="26000 - Ministério da Educação"/>
    <x v="76"/>
    <s v="8.974.299,37"/>
    <n v="10583476.68"/>
    <n v="10304743.66"/>
    <n v="1247870.32"/>
    <s v=""/>
  </r>
  <r>
    <x v="10"/>
    <s v="26000 - Ministério da Educação"/>
    <x v="76"/>
    <s v="28.327.050,19"/>
    <n v="12626012.109999999"/>
    <n v="10493702.15"/>
    <n v="640032.69999999995"/>
    <s v=""/>
  </r>
  <r>
    <x v="5"/>
    <s v="26000 - Ministério da Educação"/>
    <x v="76"/>
    <s v="14.116.748,37"/>
    <n v="21699446.399999999"/>
    <n v="12914700.939999999"/>
    <n v="887877.67"/>
    <s v=""/>
  </r>
  <r>
    <x v="0"/>
    <s v="26000 - Ministério da Educação"/>
    <x v="76"/>
    <s v="4.553.287,51"/>
    <n v="11752813.18"/>
    <n v="11241998.75"/>
    <n v="532531.29"/>
    <s v=""/>
  </r>
  <r>
    <x v="8"/>
    <s v="26000 - Ministério da Educação"/>
    <x v="76"/>
    <s v="10.007.408,56"/>
    <n v="8785955.3599999994"/>
    <n v="2191552.5299999998"/>
    <n v="9934872.4199999999"/>
    <s v=""/>
  </r>
  <r>
    <x v="1"/>
    <s v="26000 - Ministério da Educação"/>
    <x v="76"/>
    <s v="1.176.819,62"/>
    <n v="15362376.449999999"/>
    <n v="15101006.93"/>
    <n v="814092.86"/>
    <s v=""/>
  </r>
  <r>
    <x v="3"/>
    <s v="26000 - Ministério da Educação"/>
    <x v="76"/>
    <s v="6.456.314,35"/>
    <n v="9666739.2200000007"/>
    <n v="12979068.91"/>
    <n v="618476.54"/>
    <s v=""/>
  </r>
  <r>
    <x v="1"/>
    <s v="26000 - Ministério da Educação"/>
    <x v="77"/>
    <s v="6.865.426,34"/>
    <n v="120578125.56"/>
    <n v="126767474.20999999"/>
    <n v="5087652.3600000003"/>
    <s v=""/>
  </r>
  <r>
    <x v="9"/>
    <s v="26000 - Ministério da Educação"/>
    <x v="77"/>
    <s v="18.161.790,67"/>
    <n v="116951455.06999999"/>
    <n v="101887104.40000001"/>
    <n v="14847523.43"/>
    <s v=""/>
  </r>
  <r>
    <x v="7"/>
    <s v="26000 - Ministério da Educação"/>
    <x v="77"/>
    <s v="21.154.824,54"/>
    <n v="129448924.39"/>
    <n v="132135383.42"/>
    <n v="886381.69"/>
    <s v=""/>
  </r>
  <r>
    <x v="11"/>
    <s v="26000 - Ministério da Educação"/>
    <x v="77"/>
    <s v="36.121.038,47"/>
    <n v="126128111.36"/>
    <n v="123561242.45"/>
    <n v="5086117.03"/>
    <s v=""/>
  </r>
  <r>
    <x v="2"/>
    <s v="26000 - Ministério da Educação"/>
    <x v="77"/>
    <s v="28.352.924,00"/>
    <n v="135703439.91999999"/>
    <n v="128562905"/>
    <n v="541509.09"/>
    <s v=""/>
  </r>
  <r>
    <x v="10"/>
    <s v="26000 - Ministério da Educação"/>
    <x v="77"/>
    <s v="18.256.725,78"/>
    <n v="156839177.81"/>
    <n v="119285437.23999999"/>
    <n v="6630290.75"/>
    <s v=""/>
  </r>
  <r>
    <x v="5"/>
    <s v="26000 - Ministério da Educação"/>
    <x v="77"/>
    <s v="81.461.929,24"/>
    <n v="140521771.08000001"/>
    <n v="175920853.5"/>
    <n v="1661204.02"/>
    <s v=""/>
  </r>
  <r>
    <x v="0"/>
    <s v="26000 - Ministério da Educação"/>
    <x v="77"/>
    <s v="58.473.110,63"/>
    <n v="123318063.05"/>
    <n v="114219143"/>
    <n v="17411886.399999999"/>
    <s v=""/>
  </r>
  <r>
    <x v="6"/>
    <s v="26000 - Ministério da Educação"/>
    <x v="77"/>
    <s v="11.411.104,63"/>
    <n v="115129402.11"/>
    <n v="115207339.04000001"/>
    <n v="18670861.949999999"/>
    <s v=""/>
  </r>
  <r>
    <x v="4"/>
    <s v="26000 - Ministério da Educação"/>
    <x v="77"/>
    <s v="66.500.598,07"/>
    <n v="184030147.66"/>
    <n v="159867737.36000001"/>
    <n v="444085.69"/>
    <s v=""/>
  </r>
  <r>
    <x v="3"/>
    <s v="26000 - Ministério da Educação"/>
    <x v="77"/>
    <s v="9.779.352,16"/>
    <n v="120055893.94"/>
    <n v="157302295.41999999"/>
    <n v="2127691.7400000002"/>
    <s v=""/>
  </r>
  <r>
    <x v="8"/>
    <s v="26000 - Ministério da Educação"/>
    <x v="77"/>
    <s v="1.300.441.595,89"/>
    <n v="114678934.72"/>
    <n v="20052346.620000001"/>
    <n v="115905310.23"/>
    <s v=""/>
  </r>
  <r>
    <x v="8"/>
    <s v="26000 - Ministério da Educação"/>
    <x v="78"/>
    <s v="253.010.701,77"/>
    <n v="20543469.73"/>
    <n v="4147037.63"/>
    <n v="24636007.98"/>
    <s v=""/>
  </r>
  <r>
    <x v="3"/>
    <s v="26000 - Ministério da Educação"/>
    <x v="78"/>
    <s v="6.412.510,52"/>
    <n v="22690361.359999999"/>
    <n v="28773804.399999999"/>
    <n v="427201.64"/>
    <s v=""/>
  </r>
  <r>
    <x v="6"/>
    <s v="26000 - Ministério da Educação"/>
    <x v="78"/>
    <s v="2.763.055,70"/>
    <n v="19522811.190000001"/>
    <n v="19219537.16"/>
    <n v="3236976.46"/>
    <s v=""/>
  </r>
  <r>
    <x v="9"/>
    <s v="26000 - Ministério da Educação"/>
    <x v="78"/>
    <s v="2.948.268,26"/>
    <n v="19279414.760000002"/>
    <n v="18124165.469999999"/>
    <n v="5196717.34"/>
    <s v=""/>
  </r>
  <r>
    <x v="5"/>
    <s v="26000 - Ministério da Educação"/>
    <x v="78"/>
    <s v="7.221.804,96"/>
    <n v="28628651.079999998"/>
    <n v="29280497.129999999"/>
    <n v="660650.22"/>
    <s v=""/>
  </r>
  <r>
    <x v="2"/>
    <s v="26000 - Ministério da Educação"/>
    <x v="78"/>
    <s v="3.786.816,31"/>
    <n v="22968614.329999998"/>
    <n v="23105358.530000001"/>
    <n v="341880.31"/>
    <s v=""/>
  </r>
  <r>
    <x v="11"/>
    <s v="26000 - Ministério da Educação"/>
    <x v="78"/>
    <s v="5.588.638,05"/>
    <n v="21745945.899999999"/>
    <n v="20430864.379999999"/>
    <n v="1621357.14"/>
    <s v=""/>
  </r>
  <r>
    <x v="10"/>
    <s v="26000 - Ministério da Educação"/>
    <x v="78"/>
    <s v="5.614.135,49"/>
    <n v="27902915.379999999"/>
    <n v="22158434"/>
    <n v="1067661.48"/>
    <s v=""/>
  </r>
  <r>
    <x v="1"/>
    <s v="26000 - Ministério da Educação"/>
    <x v="78"/>
    <s v="1.199.944,04"/>
    <n v="23267702.219999999"/>
    <n v="22519222.620000001"/>
    <n v="303530.23999999999"/>
    <s v=""/>
  </r>
  <r>
    <x v="0"/>
    <s v="26000 - Ministério da Educação"/>
    <x v="78"/>
    <s v="2.453.186,39"/>
    <n v="20321986.870000001"/>
    <n v="20440068.309999999"/>
    <n v="3832737.43"/>
    <s v=""/>
  </r>
  <r>
    <x v="4"/>
    <s v="26000 - Ministério da Educação"/>
    <x v="78"/>
    <s v="2.286.795,74"/>
    <n v="33971518.770000003"/>
    <n v="26155618.890000001"/>
    <n v="219160"/>
    <s v=""/>
  </r>
  <r>
    <x v="7"/>
    <s v="26000 - Ministério da Educação"/>
    <x v="78"/>
    <s v="4.697.480,00"/>
    <n v="22836263.600000001"/>
    <n v="23293008.23"/>
    <n v="215256.01"/>
    <s v=""/>
  </r>
  <r>
    <x v="8"/>
    <s v="26000 - Ministério da Educação"/>
    <x v="79"/>
    <s v="111.265.530,41"/>
    <n v="9266651.1099999994"/>
    <n v="2210110.5099999998"/>
    <n v="7560759.6100000003"/>
    <s v=""/>
  </r>
  <r>
    <x v="4"/>
    <s v="26000 - Ministério da Educação"/>
    <x v="79"/>
    <s v="- 212.579,42"/>
    <n v="16423851.73"/>
    <n v="12927857.220000001"/>
    <n v="4460.3999999999996"/>
    <s v=""/>
  </r>
  <r>
    <x v="9"/>
    <s v="26000 - Ministério da Educação"/>
    <x v="79"/>
    <s v="4.676.256,94"/>
    <n v="10913421.24"/>
    <n v="8975348.4199999999"/>
    <n v="671701.17"/>
    <s v=""/>
  </r>
  <r>
    <x v="10"/>
    <s v="26000 - Ministério da Educação"/>
    <x v="79"/>
    <s v="4.034.862,09"/>
    <n v="14113894.369999999"/>
    <n v="12236834.6"/>
    <n v="18515.650000000001"/>
    <s v=""/>
  </r>
  <r>
    <x v="2"/>
    <s v="26000 - Ministério da Educação"/>
    <x v="79"/>
    <s v="712.873,16"/>
    <n v="10293305.83"/>
    <n v="10785157.48"/>
    <n v="45966.21"/>
    <s v=""/>
  </r>
  <r>
    <x v="7"/>
    <s v="26000 - Ministério da Educação"/>
    <x v="79"/>
    <s v="- 6.576.259,02"/>
    <n v="11055975.470000001"/>
    <n v="10909110.630000001"/>
    <n v="41996.480000000003"/>
    <s v=""/>
  </r>
  <r>
    <x v="11"/>
    <s v="26000 - Ministério da Educação"/>
    <x v="79"/>
    <s v="11.713.319,15"/>
    <n v="12516920.890000001"/>
    <n v="10482693.18"/>
    <n v="224991.93"/>
    <s v=""/>
  </r>
  <r>
    <x v="6"/>
    <s v="26000 - Ministério da Educação"/>
    <x v="79"/>
    <s v="- 1.624.432,91"/>
    <n v="10059655.26"/>
    <n v="11927758.98"/>
    <n v="867149.76"/>
    <s v=""/>
  </r>
  <r>
    <x v="0"/>
    <s v="26000 - Ministério da Educação"/>
    <x v="79"/>
    <s v="3.469.105,78"/>
    <n v="10385637.92"/>
    <n v="9998734.9800000004"/>
    <n v="61471.01"/>
    <s v=""/>
  </r>
  <r>
    <x v="3"/>
    <s v="26000 - Ministério da Educação"/>
    <x v="79"/>
    <s v="2.130.336,53"/>
    <n v="11656442.85"/>
    <n v="13780523.84"/>
    <n v="4662.07"/>
    <s v=""/>
  </r>
  <r>
    <x v="5"/>
    <s v="26000 - Ministério da Educação"/>
    <x v="79"/>
    <s v="6.042.673,42"/>
    <n v="13085958.199999999"/>
    <n v="14065204.439999999"/>
    <n v="99.64"/>
    <s v=""/>
  </r>
  <r>
    <x v="1"/>
    <s v="26000 - Ministério da Educação"/>
    <x v="79"/>
    <s v="10.926.836,16"/>
    <n v="11675719.039999999"/>
    <n v="11472643.859999999"/>
    <n v="198484.17"/>
    <s v=""/>
  </r>
  <r>
    <x v="11"/>
    <s v="26000 - Ministério da Educação"/>
    <x v="80"/>
    <s v="36.434.302,15"/>
    <n v="97979427.810000002"/>
    <n v="92868973.870000005"/>
    <n v="7440991.2699999996"/>
    <s v=""/>
  </r>
  <r>
    <x v="2"/>
    <s v="26000 - Ministério da Educação"/>
    <x v="80"/>
    <s v="22.605.498,85"/>
    <n v="99959552.230000004"/>
    <n v="100356250.12"/>
    <n v="2266810.15"/>
    <s v=""/>
  </r>
  <r>
    <x v="0"/>
    <s v="26000 - Ministério da Educação"/>
    <x v="80"/>
    <s v="26.118.130,56"/>
    <n v="91655663.829999998"/>
    <n v="92492456.140000001"/>
    <n v="5970312.3300000001"/>
    <s v=""/>
  </r>
  <r>
    <x v="9"/>
    <s v="26000 - Ministério da Educação"/>
    <x v="80"/>
    <s v="10.692.326,93"/>
    <n v="81043165.489999995"/>
    <n v="85377307.780000001"/>
    <n v="26806727.800000001"/>
    <s v=""/>
  </r>
  <r>
    <x v="6"/>
    <s v="26000 - Ministério da Educação"/>
    <x v="80"/>
    <s v="24.357.052,36"/>
    <n v="86171120.120000005"/>
    <n v="85436779.370000005"/>
    <n v="4492974.2"/>
    <s v=""/>
  </r>
  <r>
    <x v="3"/>
    <s v="26000 - Ministério da Educação"/>
    <x v="80"/>
    <s v="137.378.981,03"/>
    <n v="114790071.78"/>
    <n v="137683575.44999999"/>
    <n v="3331886.95"/>
    <s v=""/>
  </r>
  <r>
    <x v="10"/>
    <s v="26000 - Ministério da Educação"/>
    <x v="80"/>
    <s v="20.992.494,88"/>
    <n v="115060955.40000001"/>
    <n v="94644860.209999993"/>
    <n v="2239203.62"/>
    <s v=""/>
  </r>
  <r>
    <x v="1"/>
    <s v="26000 - Ministério da Educação"/>
    <x v="80"/>
    <s v="- 9.385.145,08"/>
    <n v="92825170.370000005"/>
    <n v="91626864.099999994"/>
    <n v="3566524.5"/>
    <s v=""/>
  </r>
  <r>
    <x v="4"/>
    <s v="26000 - Ministério da Educação"/>
    <x v="80"/>
    <s v="- 2.230.402,37"/>
    <n v="155882389.81"/>
    <n v="129209159.33"/>
    <n v="293307.81"/>
    <s v=""/>
  </r>
  <r>
    <x v="5"/>
    <s v="26000 - Ministério da Educação"/>
    <x v="80"/>
    <s v="90.766.879,66"/>
    <n v="113607552.81999999"/>
    <n v="122507211.36"/>
    <n v="692668.44"/>
    <s v=""/>
  </r>
  <r>
    <x v="7"/>
    <s v="26000 - Ministério da Educação"/>
    <x v="80"/>
    <s v="2.144.806,23"/>
    <n v="86446488.75"/>
    <n v="86270030.569999993"/>
    <n v="687939.02"/>
    <s v=""/>
  </r>
  <r>
    <x v="8"/>
    <s v="26000 - Ministério da Educação"/>
    <x v="80"/>
    <s v="959.288.841,47"/>
    <n v="77687518.269999996"/>
    <n v="832613.23"/>
    <n v="114969492.09999999"/>
    <s v=""/>
  </r>
  <r>
    <x v="0"/>
    <s v="26000 - Ministério da Educação"/>
    <x v="81"/>
    <s v="190.537.151,85"/>
    <n v="38326828.25"/>
    <n v="38124218.259999998"/>
    <n v="1409175.09"/>
    <s v=""/>
  </r>
  <r>
    <x v="6"/>
    <s v="26000 - Ministério da Educação"/>
    <x v="81"/>
    <s v="4.809.568,97"/>
    <n v="37599942.380000003"/>
    <n v="37234411.299999997"/>
    <n v="2979557.71"/>
    <s v=""/>
  </r>
  <r>
    <x v="11"/>
    <s v="26000 - Ministério da Educação"/>
    <x v="81"/>
    <s v="26.311.574,18"/>
    <n v="39660201.689999998"/>
    <n v="37796971.640000001"/>
    <n v="2223140.27"/>
    <s v=""/>
  </r>
  <r>
    <x v="7"/>
    <s v="26000 - Ministério da Educação"/>
    <x v="81"/>
    <s v="37.831.128,26"/>
    <n v="37720055.420000002"/>
    <n v="38538115.939999998"/>
    <n v="297445.24"/>
    <s v=""/>
  </r>
  <r>
    <x v="2"/>
    <s v="26000 - Ministério da Educação"/>
    <x v="81"/>
    <s v="5.370.913,21"/>
    <n v="38063918.840000004"/>
    <n v="38408817.689999998"/>
    <n v="157945.1"/>
    <s v=""/>
  </r>
  <r>
    <x v="5"/>
    <s v="26000 - Ministério da Educação"/>
    <x v="81"/>
    <s v="21.936.201,39"/>
    <n v="44031002.030000001"/>
    <n v="47621849.520000003"/>
    <n v="282442.69"/>
    <s v=""/>
  </r>
  <r>
    <x v="3"/>
    <s v="26000 - Ministério da Educação"/>
    <x v="81"/>
    <s v="4.282.176,29"/>
    <n v="38723109.909999996"/>
    <n v="47640566.979999997"/>
    <n v="671928.58"/>
    <s v=""/>
  </r>
  <r>
    <x v="1"/>
    <s v="26000 - Ministério da Educação"/>
    <x v="81"/>
    <s v="8.013.236,03"/>
    <n v="40148200.469999999"/>
    <n v="38947823.43"/>
    <n v="733640.01"/>
    <s v=""/>
  </r>
  <r>
    <x v="8"/>
    <s v="26000 - Ministério da Educação"/>
    <x v="81"/>
    <s v="166.445.414,38"/>
    <n v="32726502.73"/>
    <n v="6330059.0099999998"/>
    <n v="41619307.329999998"/>
    <s v=""/>
  </r>
  <r>
    <x v="4"/>
    <s v="26000 - Ministério da Educação"/>
    <x v="81"/>
    <s v="21.481.203,02"/>
    <n v="56456564.590000004"/>
    <n v="43494040.82"/>
    <n v="92449.21"/>
    <s v=""/>
  </r>
  <r>
    <x v="10"/>
    <s v="26000 - Ministério da Educação"/>
    <x v="81"/>
    <s v="14.287.523,11"/>
    <n v="47175815.259999998"/>
    <n v="39155219.060000002"/>
    <n v="1418521.23"/>
    <s v=""/>
  </r>
  <r>
    <x v="9"/>
    <s v="26000 - Ministério da Educação"/>
    <x v="81"/>
    <s v="3.435.596,08"/>
    <n v="33364736.859999999"/>
    <n v="29995961.440000001"/>
    <n v="15964292.109999999"/>
    <s v=""/>
  </r>
  <r>
    <x v="7"/>
    <s v="26000 - Ministério da Educação"/>
    <x v="82"/>
    <s v="35.337.516,55"/>
    <n v="214114961.31"/>
    <n v="223924061.36000001"/>
    <n v="1379156.05"/>
    <s v=""/>
  </r>
  <r>
    <x v="2"/>
    <s v="26000 - Ministério da Educação"/>
    <x v="82"/>
    <s v="28.505.866,74"/>
    <n v="222059213.38"/>
    <n v="216882932.63999999"/>
    <n v="3681447.55"/>
    <s v=""/>
  </r>
  <r>
    <x v="5"/>
    <s v="26000 - Ministério da Educação"/>
    <x v="82"/>
    <s v="140.163.889,48"/>
    <n v="296406024.25"/>
    <n v="324562638.93000001"/>
    <n v="3699776.95"/>
    <s v=""/>
  </r>
  <r>
    <x v="0"/>
    <s v="26000 - Ministério da Educação"/>
    <x v="82"/>
    <s v="85.394.388,33"/>
    <n v="227864487.99000001"/>
    <n v="209452842.86000001"/>
    <n v="4107514.59"/>
    <s v=""/>
  </r>
  <r>
    <x v="9"/>
    <s v="26000 - Ministério da Educação"/>
    <x v="82"/>
    <s v="24.673.634,89"/>
    <n v="202728243.41999999"/>
    <n v="181746720.22"/>
    <n v="39844656.539999999"/>
    <s v=""/>
  </r>
  <r>
    <x v="6"/>
    <s v="26000 - Ministério da Educação"/>
    <x v="82"/>
    <s v="27.550.370,45"/>
    <n v="203117407.66"/>
    <n v="204912009.88"/>
    <n v="17410316.449999999"/>
    <s v=""/>
  </r>
  <r>
    <x v="10"/>
    <s v="26000 - Ministério da Educação"/>
    <x v="82"/>
    <s v="11.154.478,64"/>
    <n v="289066560.67000002"/>
    <n v="218896187.44999999"/>
    <n v="838092.2"/>
    <s v=""/>
  </r>
  <r>
    <x v="1"/>
    <s v="26000 - Ministério da Educação"/>
    <x v="82"/>
    <s v="- 35.604.815,94"/>
    <n v="218594206.78"/>
    <n v="225137486.41"/>
    <n v="1061545.83"/>
    <s v=""/>
  </r>
  <r>
    <x v="11"/>
    <s v="26000 - Ministério da Educação"/>
    <x v="82"/>
    <s v="66.263.344,89"/>
    <n v="225395090.61000001"/>
    <n v="225761146.55000001"/>
    <n v="6747404.6100000003"/>
    <s v=""/>
  </r>
  <r>
    <x v="4"/>
    <s v="26000 - Ministério da Educação"/>
    <x v="82"/>
    <s v="70.103.825,16"/>
    <n v="339127244.38999999"/>
    <n v="258937298.31"/>
    <n v="1189234.2"/>
    <s v=""/>
  </r>
  <r>
    <x v="3"/>
    <s v="26000 - Ministério da Educação"/>
    <x v="82"/>
    <s v="61.276.064,80"/>
    <n v="231818899.78999999"/>
    <n v="293229713.37"/>
    <n v="2428438.0299999998"/>
    <s v=""/>
  </r>
  <r>
    <x v="8"/>
    <s v="26000 - Ministério da Educação"/>
    <x v="82"/>
    <s v="2.472.784.514,37"/>
    <n v="199768562.24000001"/>
    <n v="35224464.009999998"/>
    <n v="252007401.25"/>
    <s v=""/>
  </r>
  <r>
    <x v="8"/>
    <s v="26000 - Ministério da Educação"/>
    <x v="83"/>
    <s v="276.309.405,34"/>
    <n v="39555415.840000004"/>
    <n v="6964019.0300000003"/>
    <n v="42373808.909999996"/>
    <s v=""/>
  </r>
  <r>
    <x v="0"/>
    <s v="26000 - Ministério da Educação"/>
    <x v="83"/>
    <s v="135.545.629,96"/>
    <n v="42241251.560000002"/>
    <n v="42137446.93"/>
    <n v="944893.01"/>
    <s v=""/>
  </r>
  <r>
    <x v="10"/>
    <s v="26000 - Ministério da Educação"/>
    <x v="83"/>
    <s v="6.948.557,54"/>
    <n v="54939574.759999998"/>
    <n v="42909171.460000001"/>
    <n v="888840.67"/>
    <s v=""/>
  </r>
  <r>
    <x v="3"/>
    <s v="26000 - Ministério da Educação"/>
    <x v="83"/>
    <s v="4.512.824,99"/>
    <n v="43475547.710000001"/>
    <n v="56628482.409999996"/>
    <n v="2044546.87"/>
    <s v=""/>
  </r>
  <r>
    <x v="9"/>
    <s v="26000 - Ministério da Educação"/>
    <x v="83"/>
    <s v="6.157.246,03"/>
    <n v="41725976.049999997"/>
    <n v="35190315.229999997"/>
    <n v="8242319.6500000004"/>
    <s v=""/>
  </r>
  <r>
    <x v="4"/>
    <s v="26000 - Ministério da Educação"/>
    <x v="83"/>
    <s v="52.626.531,07"/>
    <n v="63368422.130000003"/>
    <n v="41448116.82"/>
    <n v="267036.03999999998"/>
    <s v=""/>
  </r>
  <r>
    <x v="7"/>
    <s v="26000 - Ministério da Educação"/>
    <x v="83"/>
    <s v="24.718.561,15"/>
    <n v="45012469.119999997"/>
    <n v="43508798.049999997"/>
    <n v="405684.23"/>
    <s v=""/>
  </r>
  <r>
    <x v="2"/>
    <s v="26000 - Ministério da Educação"/>
    <x v="83"/>
    <s v="18.403.883,96"/>
    <n v="44654695.880000003"/>
    <n v="47170643.149999999"/>
    <n v="578350.88"/>
    <s v=""/>
  </r>
  <r>
    <x v="11"/>
    <s v="26000 - Ministério da Educação"/>
    <x v="83"/>
    <s v="1.516.133,19"/>
    <n v="43466784.299999997"/>
    <n v="42778172.189999998"/>
    <n v="2492351.11"/>
    <s v=""/>
  </r>
  <r>
    <x v="5"/>
    <s v="26000 - Ministério da Educação"/>
    <x v="83"/>
    <s v="28.897.187,22"/>
    <n v="49304662.789999999"/>
    <n v="63277158.740000002"/>
    <n v="2678726.4300000002"/>
    <s v=""/>
  </r>
  <r>
    <x v="1"/>
    <s v="26000 - Ministério da Educação"/>
    <x v="83"/>
    <s v="1.068.881,47"/>
    <n v="45557481.950000003"/>
    <n v="45228395.420000002"/>
    <n v="518093.2"/>
    <s v=""/>
  </r>
  <r>
    <x v="6"/>
    <s v="26000 - Ministério da Educação"/>
    <x v="83"/>
    <s v="6.915.529,86"/>
    <n v="42227338.960000001"/>
    <n v="43454739.43"/>
    <n v="3073658.69"/>
    <s v=""/>
  </r>
  <r>
    <x v="11"/>
    <s v="26000 - Ministério da Educação"/>
    <x v="84"/>
    <s v="29.193.422,46"/>
    <n v="170693999.25"/>
    <n v="166312963.34"/>
    <n v="4121864.31"/>
    <s v=""/>
  </r>
  <r>
    <x v="8"/>
    <s v="26000 - Ministério da Educação"/>
    <x v="84"/>
    <s v="1.916.377.084,14"/>
    <n v="149446624.09999999"/>
    <n v="26787829.780000001"/>
    <n v="176834722.55000001"/>
    <s v=""/>
  </r>
  <r>
    <x v="3"/>
    <s v="26000 - Ministério da Educação"/>
    <x v="84"/>
    <s v="28.404.856,98"/>
    <n v="173145733.02000001"/>
    <n v="214230659.47999999"/>
    <n v="13229684.710000001"/>
    <s v=""/>
  </r>
  <r>
    <x v="5"/>
    <s v="26000 - Ministério da Educação"/>
    <x v="84"/>
    <s v="84.569.796,66"/>
    <n v="248564148.11000001"/>
    <n v="227633367.97"/>
    <n v="2803780.97"/>
    <s v=""/>
  </r>
  <r>
    <x v="4"/>
    <s v="26000 - Ministério da Educação"/>
    <x v="84"/>
    <s v="45.579.533,77"/>
    <n v="254885201.84"/>
    <n v="197566559.81999999"/>
    <n v="610868.28"/>
    <s v=""/>
  </r>
  <r>
    <x v="9"/>
    <s v="26000 - Ministério da Educação"/>
    <x v="84"/>
    <s v="14.005.690,57"/>
    <n v="156711154.66999999"/>
    <n v="133862640.09999999"/>
    <n v="36084729.729999997"/>
    <s v=""/>
  </r>
  <r>
    <x v="0"/>
    <s v="26000 - Ministério da Educação"/>
    <x v="84"/>
    <s v="54.861.539,36"/>
    <n v="163315137.19"/>
    <n v="158387086.87"/>
    <n v="6732879.4800000004"/>
    <s v=""/>
  </r>
  <r>
    <x v="6"/>
    <s v="26000 - Ministério da Educação"/>
    <x v="84"/>
    <s v="25.285.323,79"/>
    <n v="161184589.69"/>
    <n v="157367830.03999999"/>
    <n v="35714230.600000001"/>
    <s v=""/>
  </r>
  <r>
    <x v="7"/>
    <s v="26000 - Ministério da Educação"/>
    <x v="84"/>
    <s v="21.552.874,88"/>
    <n v="178739481.47999999"/>
    <n v="167478526.41999999"/>
    <n v="8088492.6600000001"/>
    <s v=""/>
  </r>
  <r>
    <x v="10"/>
    <s v="26000 - Ministério da Educação"/>
    <x v="84"/>
    <s v="39.152.868,86"/>
    <n v="215113372.41999999"/>
    <n v="168849231.44"/>
    <n v="3734845.07"/>
    <s v=""/>
  </r>
  <r>
    <x v="2"/>
    <s v="26000 - Ministério da Educação"/>
    <x v="84"/>
    <s v="31.694.657,78"/>
    <n v="167586390.49000001"/>
    <n v="179753930.94999999"/>
    <n v="1741668.27"/>
    <s v=""/>
  </r>
  <r>
    <x v="1"/>
    <s v="26000 - Ministério da Educação"/>
    <x v="84"/>
    <s v="33.347.910,05"/>
    <n v="168537872.03"/>
    <n v="167946447.90000001"/>
    <n v="2945868.63"/>
    <s v=""/>
  </r>
  <r>
    <x v="8"/>
    <s v="26000 - Ministério da Educação"/>
    <x v="85"/>
    <s v="110.762.349,94"/>
    <n v="6404427.9000000004"/>
    <n v="569523.5"/>
    <n v="10519218.039999999"/>
    <s v=""/>
  </r>
  <r>
    <x v="0"/>
    <s v="26000 - Ministério da Educação"/>
    <x v="85"/>
    <s v="8.704.882,73"/>
    <n v="9421525.6999999993"/>
    <n v="9065322.2599999998"/>
    <n v="1016798.74"/>
    <s v=""/>
  </r>
  <r>
    <x v="7"/>
    <s v="26000 - Ministério da Educação"/>
    <x v="85"/>
    <s v="320.559,58"/>
    <n v="9956173.8000000007"/>
    <n v="10102698.51"/>
    <n v="9250"/>
    <s v=""/>
  </r>
  <r>
    <x v="2"/>
    <s v="26000 - Ministério da Educação"/>
    <x v="85"/>
    <s v="2.467.636,00"/>
    <n v="10167648.6"/>
    <n v="10300546.130000001"/>
    <n v="32936.92"/>
    <s v=""/>
  </r>
  <r>
    <x v="11"/>
    <s v="26000 - Ministério da Educação"/>
    <x v="85"/>
    <s v="8.766.539,32"/>
    <n v="10752863.66"/>
    <n v="8743301.4600000009"/>
    <n v="371003.58"/>
    <s v=""/>
  </r>
  <r>
    <x v="10"/>
    <s v="26000 - Ministério da Educação"/>
    <x v="85"/>
    <s v="6.529.168,02"/>
    <n v="11087002.619999999"/>
    <n v="10578421.57"/>
    <n v="163655.72"/>
    <s v=""/>
  </r>
  <r>
    <x v="5"/>
    <s v="26000 - Ministério da Educação"/>
    <x v="85"/>
    <s v="5.496.716,69"/>
    <n v="13917081.550000001"/>
    <n v="12387103.529999999"/>
    <n v="0"/>
    <s v=""/>
  </r>
  <r>
    <x v="3"/>
    <s v="26000 - Ministério da Educação"/>
    <x v="85"/>
    <s v="- 9.085.714,34"/>
    <n v="9320559.3699999992"/>
    <n v="11402464.74"/>
    <n v="60450.86"/>
    <s v=""/>
  </r>
  <r>
    <x v="4"/>
    <s v="26000 - Ministério da Educação"/>
    <x v="85"/>
    <s v="- 2.517.940,10"/>
    <n v="14301868.699999999"/>
    <n v="11740009.33"/>
    <n v="2017.86"/>
    <s v=""/>
  </r>
  <r>
    <x v="9"/>
    <s v="26000 - Ministério da Educação"/>
    <x v="85"/>
    <s v="4.381.773,65"/>
    <n v="7593880.7400000002"/>
    <n v="6659116.1500000004"/>
    <n v="3134471.27"/>
    <s v=""/>
  </r>
  <r>
    <x v="6"/>
    <s v="26000 - Ministério da Educação"/>
    <x v="85"/>
    <s v="- 2.180.410,72"/>
    <n v="7727769.6100000003"/>
    <n v="7632509.6799999997"/>
    <n v="1090905.8700000001"/>
    <s v=""/>
  </r>
  <r>
    <x v="1"/>
    <s v="26000 - Ministério da Educação"/>
    <x v="85"/>
    <s v="1.253.314,26"/>
    <n v="9743810.1300000008"/>
    <n v="9226426.7200000007"/>
    <n v="26973.06"/>
    <s v=""/>
  </r>
  <r>
    <x v="0"/>
    <s v="26000 - Ministério da Educação"/>
    <x v="86"/>
    <s v="9.571.052,45"/>
    <n v="22529589.940000001"/>
    <n v="22472590.329999998"/>
    <n v="3729714.04"/>
    <s v=""/>
  </r>
  <r>
    <x v="8"/>
    <s v="26000 - Ministério da Educação"/>
    <x v="86"/>
    <s v="212.751.662,75"/>
    <n v="21829062.539999999"/>
    <n v="5954640.3499999996"/>
    <n v="20993311.73"/>
    <s v=""/>
  </r>
  <r>
    <x v="2"/>
    <s v="26000 - Ministério da Educação"/>
    <x v="86"/>
    <s v="1.512.011,04"/>
    <n v="24674349.09"/>
    <n v="24591407.309999999"/>
    <n v="534827.98"/>
    <s v=""/>
  </r>
  <r>
    <x v="9"/>
    <s v="26000 - Ministério da Educação"/>
    <x v="86"/>
    <s v="5.098.769,67"/>
    <n v="19932967.719999999"/>
    <n v="17777732.870000001"/>
    <n v="2336949.65"/>
    <s v=""/>
  </r>
  <r>
    <x v="6"/>
    <s v="26000 - Ministério da Educação"/>
    <x v="86"/>
    <s v="4.483.375,96"/>
    <n v="20785904.579999998"/>
    <n v="20593012.600000001"/>
    <n v="8129421.7199999997"/>
    <s v=""/>
  </r>
  <r>
    <x v="11"/>
    <s v="26000 - Ministério da Educação"/>
    <x v="86"/>
    <s v="10.082.336,15"/>
    <n v="24937117.68"/>
    <n v="21829575.77"/>
    <n v="1808570.13"/>
    <s v=""/>
  </r>
  <r>
    <x v="1"/>
    <s v="26000 - Ministério da Educação"/>
    <x v="86"/>
    <s v="4.536.647,40"/>
    <n v="24188562.530000001"/>
    <n v="23333774.09"/>
    <n v="516621.46"/>
    <s v=""/>
  </r>
  <r>
    <x v="4"/>
    <s v="26000 - Ministério da Educação"/>
    <x v="86"/>
    <s v="13.137.792,20"/>
    <n v="43883321.670000002"/>
    <n v="36787279.920000002"/>
    <n v="493885.28"/>
    <s v=""/>
  </r>
  <r>
    <x v="5"/>
    <s v="26000 - Ministério da Educação"/>
    <x v="86"/>
    <s v="22.850.465,75"/>
    <n v="29491293.59"/>
    <n v="31171852.34"/>
    <n v="1002071.17"/>
    <s v=""/>
  </r>
  <r>
    <x v="7"/>
    <s v="26000 - Ministério da Educação"/>
    <x v="86"/>
    <s v="2.536.348,61"/>
    <n v="24089690.59"/>
    <n v="24359464.91"/>
    <n v="900014.2"/>
    <s v=""/>
  </r>
  <r>
    <x v="10"/>
    <s v="26000 - Ministério da Educação"/>
    <x v="86"/>
    <s v="47.544.184,16"/>
    <n v="30070342.710000001"/>
    <n v="25271966.629999999"/>
    <n v="2661424.5499999998"/>
    <s v=""/>
  </r>
  <r>
    <x v="3"/>
    <s v="26000 - Ministério da Educação"/>
    <x v="86"/>
    <s v="6.429.873,54"/>
    <n v="23081306.710000001"/>
    <n v="30282151.48"/>
    <n v="1799892.56"/>
    <s v=""/>
  </r>
  <r>
    <x v="6"/>
    <s v="26000 - Ministério da Educação"/>
    <x v="87"/>
    <s v="36.809.430,18"/>
    <n v="156901495.44"/>
    <n v="151430672.59"/>
    <n v="12849682.640000001"/>
    <s v=""/>
  </r>
  <r>
    <x v="2"/>
    <s v="26000 - Ministério da Educação"/>
    <x v="87"/>
    <s v="25.040.973,36"/>
    <n v="179863904.34"/>
    <n v="174105340.41999999"/>
    <n v="5574342.6100000003"/>
    <s v=""/>
  </r>
  <r>
    <x v="5"/>
    <s v="26000 - Ministério da Educação"/>
    <x v="87"/>
    <s v="105.994.995,28"/>
    <n v="217278620.72"/>
    <n v="222000469.37"/>
    <n v="251179.09"/>
    <s v=""/>
  </r>
  <r>
    <x v="10"/>
    <s v="26000 - Ministério da Educação"/>
    <x v="87"/>
    <s v="27.316.082,92"/>
    <n v="227528855.56999999"/>
    <n v="183736234.81"/>
    <n v="7689085.5800000001"/>
    <s v=""/>
  </r>
  <r>
    <x v="7"/>
    <s v="26000 - Ministério da Educação"/>
    <x v="87"/>
    <s v="31.645.714,37"/>
    <n v="174569489.46000001"/>
    <n v="174677284.97"/>
    <n v="1490734.59"/>
    <s v=""/>
  </r>
  <r>
    <x v="4"/>
    <s v="26000 - Ministério da Educação"/>
    <x v="87"/>
    <s v="69.601.881,66"/>
    <n v="255266185.91999999"/>
    <n v="205466675.05000001"/>
    <n v="578944.1"/>
    <s v=""/>
  </r>
  <r>
    <x v="3"/>
    <s v="26000 - Ministério da Educação"/>
    <x v="87"/>
    <s v="39.767.375,43"/>
    <n v="173940745.88"/>
    <n v="228909616.5"/>
    <n v="3149931.33"/>
    <s v=""/>
  </r>
  <r>
    <x v="11"/>
    <s v="26000 - Ministério da Educação"/>
    <x v="87"/>
    <s v="69.695.296,28"/>
    <n v="192672413.38"/>
    <n v="176171005.40000001"/>
    <n v="13813587.76"/>
    <s v=""/>
  </r>
  <r>
    <x v="0"/>
    <s v="26000 - Ministério da Educação"/>
    <x v="87"/>
    <s v="69.949.769,97"/>
    <n v="196117683.16999999"/>
    <n v="167799950.27000001"/>
    <n v="14231735.09"/>
    <s v=""/>
  </r>
  <r>
    <x v="1"/>
    <s v="26000 - Ministério da Educação"/>
    <x v="87"/>
    <s v="- 1.833.080,64"/>
    <n v="171425537.25"/>
    <n v="184416449.22999999"/>
    <n v="7132739.3300000001"/>
    <s v=""/>
  </r>
  <r>
    <x v="9"/>
    <s v="26000 - Ministério da Educação"/>
    <x v="87"/>
    <s v="11.945.665,73"/>
    <n v="152836374.53999999"/>
    <n v="140948006.09999999"/>
    <n v="36082342.299999997"/>
    <s v=""/>
  </r>
  <r>
    <x v="8"/>
    <s v="26000 - Ministério da Educação"/>
    <x v="87"/>
    <s v="1.824.540.590,09"/>
    <n v="155490473.18000001"/>
    <n v="26992040.239999998"/>
    <n v="191082183.22"/>
    <s v=""/>
  </r>
  <r>
    <x v="11"/>
    <s v="26000 - Ministério da Educação"/>
    <x v="88"/>
    <s v="51.638.871,75"/>
    <n v="134649883.80000001"/>
    <n v="125389474.67"/>
    <n v="942058.23"/>
    <s v=""/>
  </r>
  <r>
    <x v="5"/>
    <s v="26000 - Ministério da Educação"/>
    <x v="88"/>
    <s v="- 2.817.683,04"/>
    <n v="189737688.08000001"/>
    <n v="178609482.22999999"/>
    <n v="1105898.48"/>
    <s v=""/>
  </r>
  <r>
    <x v="3"/>
    <s v="26000 - Ministério da Educação"/>
    <x v="88"/>
    <s v="41.567.579,76"/>
    <n v="133647692.79000001"/>
    <n v="166259387.61000001"/>
    <n v="1487394.94"/>
    <s v=""/>
  </r>
  <r>
    <x v="0"/>
    <s v="26000 - Ministério da Educação"/>
    <x v="88"/>
    <s v="15.786.752,70"/>
    <n v="126507050.27"/>
    <n v="129644334.58"/>
    <n v="4865887.82"/>
    <s v=""/>
  </r>
  <r>
    <x v="8"/>
    <s v="26000 - Ministério da Educação"/>
    <x v="88"/>
    <s v="1.509.789.495,17"/>
    <n v="138275368.97999999"/>
    <n v="33896335.140000001"/>
    <n v="127459077.47"/>
    <s v=""/>
  </r>
  <r>
    <x v="10"/>
    <s v="26000 - Ministério da Educação"/>
    <x v="88"/>
    <s v="54.228.893,06"/>
    <n v="160853934.69999999"/>
    <n v="131209397.47"/>
    <n v="883353.61"/>
    <s v=""/>
  </r>
  <r>
    <x v="9"/>
    <s v="26000 - Ministério da Educação"/>
    <x v="88"/>
    <s v="11.253.778,29"/>
    <n v="124985062.58"/>
    <n v="130029483.58"/>
    <n v="9289101.3800000008"/>
    <s v=""/>
  </r>
  <r>
    <x v="2"/>
    <s v="26000 - Ministério da Educação"/>
    <x v="88"/>
    <s v="8.813.381,09"/>
    <n v="134989546.53999999"/>
    <n v="135885074.47999999"/>
    <n v="926799.48"/>
    <s v=""/>
  </r>
  <r>
    <x v="1"/>
    <s v="26000 - Ministério da Educação"/>
    <x v="88"/>
    <s v="5.365.564,77"/>
    <n v="138892955.63999999"/>
    <n v="132153913.22"/>
    <n v="548416.43999999994"/>
    <s v=""/>
  </r>
  <r>
    <x v="4"/>
    <s v="26000 - Ministério da Educação"/>
    <x v="88"/>
    <s v="61.815.645,92"/>
    <n v="191983229.97999999"/>
    <n v="147318443.25"/>
    <n v="766219.21"/>
    <s v=""/>
  </r>
  <r>
    <x v="6"/>
    <s v="26000 - Ministério da Educação"/>
    <x v="88"/>
    <s v="12.096.777,66"/>
    <n v="127175412.86"/>
    <n v="126130224"/>
    <n v="3496311.22"/>
    <s v=""/>
  </r>
  <r>
    <x v="7"/>
    <s v="26000 - Ministério da Educação"/>
    <x v="88"/>
    <s v="2.809.537,35"/>
    <n v="133488288.05"/>
    <n v="142285964.03999999"/>
    <n v="1031020"/>
    <s v=""/>
  </r>
  <r>
    <x v="7"/>
    <s v="26000 - Ministério da Educação"/>
    <x v="89"/>
    <s v="37.827.315,89"/>
    <n v="120445258.34"/>
    <n v="119857166.72"/>
    <n v="6729093.0700000003"/>
    <s v=""/>
  </r>
  <r>
    <x v="11"/>
    <s v="26000 - Ministério da Educação"/>
    <x v="89"/>
    <s v="53.926.663,07"/>
    <n v="130570217.12"/>
    <n v="125047037.70999999"/>
    <n v="5524747.5499999998"/>
    <s v=""/>
  </r>
  <r>
    <x v="5"/>
    <s v="26000 - Ministério da Educação"/>
    <x v="89"/>
    <s v="47.306.490,02"/>
    <n v="146523329.94999999"/>
    <n v="158945745.46000001"/>
    <n v="9153359.6899999995"/>
    <s v=""/>
  </r>
  <r>
    <x v="1"/>
    <s v="26000 - Ministério da Educação"/>
    <x v="89"/>
    <s v="68.468.344,16"/>
    <n v="129070651.42"/>
    <n v="127273864.29000001"/>
    <n v="3554905.46"/>
    <s v=""/>
  </r>
  <r>
    <x v="2"/>
    <s v="26000 - Ministério da Educação"/>
    <x v="89"/>
    <s v="8.044.750,00"/>
    <n v="137339879.93000001"/>
    <n v="136040322.71000001"/>
    <n v="2168018.09"/>
    <s v=""/>
  </r>
  <r>
    <x v="8"/>
    <s v="26000 - Ministério da Educação"/>
    <x v="89"/>
    <s v="1.304.551.510,49"/>
    <n v="111494996.88"/>
    <n v="12669223.890000001"/>
    <n v="143861997.66999999"/>
    <s v=""/>
  </r>
  <r>
    <x v="10"/>
    <s v="26000 - Ministério da Educação"/>
    <x v="89"/>
    <s v="1.993.039,29"/>
    <n v="168479941.88"/>
    <n v="129157690.18000001"/>
    <n v="3472841.21"/>
    <s v=""/>
  </r>
  <r>
    <x v="0"/>
    <s v="26000 - Ministério da Educação"/>
    <x v="89"/>
    <s v="25.787.712,44"/>
    <n v="126595020.03"/>
    <n v="135133439.68000001"/>
    <n v="9876775.8000000007"/>
    <s v=""/>
  </r>
  <r>
    <x v="4"/>
    <s v="26000 - Ministério da Educação"/>
    <x v="89"/>
    <s v="78.574.644,97"/>
    <n v="188610397.38999999"/>
    <n v="135247644.06"/>
    <n v="1125661.21"/>
    <s v=""/>
  </r>
  <r>
    <x v="3"/>
    <s v="26000 - Ministério da Educação"/>
    <x v="89"/>
    <s v="23.413.804,07"/>
    <n v="125308556.97"/>
    <n v="168096558.97999999"/>
    <n v="3640328.4"/>
    <s v=""/>
  </r>
  <r>
    <x v="6"/>
    <s v="26000 - Ministério da Educação"/>
    <x v="89"/>
    <s v="13.281.137,86"/>
    <n v="129614408.92"/>
    <n v="120107501.72"/>
    <n v="7572839.2000000002"/>
    <s v=""/>
  </r>
  <r>
    <x v="9"/>
    <s v="26000 - Ministério da Educação"/>
    <x v="89"/>
    <s v="41.716.737,49"/>
    <n v="118020814.51000001"/>
    <n v="119119116.28"/>
    <n v="13781028.66"/>
    <s v=""/>
  </r>
  <r>
    <x v="7"/>
    <s v="26000 - Ministério da Educação"/>
    <x v="90"/>
    <s v="9.125.322,39"/>
    <n v="86379135.840000004"/>
    <n v="78510222.75"/>
    <n v="1602400.96"/>
    <s v=""/>
  </r>
  <r>
    <x v="2"/>
    <s v="26000 - Ministério da Educação"/>
    <x v="90"/>
    <s v="26.792.547,09"/>
    <n v="88493458.780000001"/>
    <n v="90722184.790000007"/>
    <n v="1627339.43"/>
    <s v=""/>
  </r>
  <r>
    <x v="0"/>
    <s v="26000 - Ministério da Educação"/>
    <x v="90"/>
    <s v="16.204.727,27"/>
    <n v="82274763.819999993"/>
    <n v="81806149.439999998"/>
    <n v="4654449.51"/>
    <s v=""/>
  </r>
  <r>
    <x v="6"/>
    <s v="26000 - Ministério da Educação"/>
    <x v="90"/>
    <s v="5.780.325,57"/>
    <n v="80916030.390000001"/>
    <n v="77411984.379999995"/>
    <n v="8137352.8200000003"/>
    <s v=""/>
  </r>
  <r>
    <x v="3"/>
    <s v="26000 - Ministério da Educação"/>
    <x v="90"/>
    <s v="23.064.166,84"/>
    <n v="84252094.390000001"/>
    <n v="110706627.53"/>
    <n v="8756711.4900000002"/>
    <s v=""/>
  </r>
  <r>
    <x v="4"/>
    <s v="26000 - Ministério da Educação"/>
    <x v="90"/>
    <s v="5.360.982,64"/>
    <n v="129257713.47"/>
    <n v="97620911.560000002"/>
    <n v="1181850.67"/>
    <s v=""/>
  </r>
  <r>
    <x v="10"/>
    <s v="26000 - Ministério da Educação"/>
    <x v="90"/>
    <s v="39.467.829,19"/>
    <n v="109523179.48999999"/>
    <n v="87259638.269999996"/>
    <n v="4051463.33"/>
    <s v=""/>
  </r>
  <r>
    <x v="8"/>
    <s v="26000 - Ministério da Educação"/>
    <x v="90"/>
    <s v="997.689.183,61"/>
    <n v="78319857.200000003"/>
    <n v="12551638.689999999"/>
    <n v="80446095.280000001"/>
    <s v=""/>
  </r>
  <r>
    <x v="11"/>
    <s v="26000 - Ministério da Educação"/>
    <x v="90"/>
    <s v="11.948.997,07"/>
    <n v="87142876.519999996"/>
    <n v="81442234.829999998"/>
    <n v="7495712.5099999998"/>
    <s v=""/>
  </r>
  <r>
    <x v="5"/>
    <s v="26000 - Ministério da Educação"/>
    <x v="90"/>
    <s v="4.949.384,28"/>
    <n v="108738712.51000001"/>
    <n v="126983244.77"/>
    <n v="1067278.98"/>
    <s v=""/>
  </r>
  <r>
    <x v="1"/>
    <s v="26000 - Ministério da Educação"/>
    <x v="90"/>
    <s v="- 14.363.195,66"/>
    <n v="88651950.840000004"/>
    <n v="84757323.019999996"/>
    <n v="818368.97"/>
    <s v=""/>
  </r>
  <r>
    <x v="9"/>
    <s v="26000 - Ministério da Educação"/>
    <x v="90"/>
    <s v="9.461.969,02"/>
    <n v="76707171.480000004"/>
    <n v="78205307.709999993"/>
    <n v="6874581.3399999999"/>
    <s v=""/>
  </r>
  <r>
    <x v="1"/>
    <s v="26000 - Ministério da Educação"/>
    <x v="91"/>
    <s v="6.164.152,87"/>
    <n v="6229636.21"/>
    <n v="6286219.4699999997"/>
    <n v="115733.82"/>
    <s v=""/>
  </r>
  <r>
    <x v="6"/>
    <s v="26000 - Ministério da Educação"/>
    <x v="91"/>
    <s v="9.887.571,89"/>
    <n v="10205508.32"/>
    <n v="6125904.5499999998"/>
    <n v="393092.26"/>
    <s v=""/>
  </r>
  <r>
    <x v="9"/>
    <s v="26000 - Ministério da Educação"/>
    <x v="91"/>
    <s v="6.811.775,93"/>
    <n v="6161774.8799999999"/>
    <n v="4856428.42"/>
    <n v="1064287.04"/>
    <s v=""/>
  </r>
  <r>
    <x v="3"/>
    <s v="26000 - Ministério da Educação"/>
    <x v="91"/>
    <s v="6.924.747,83"/>
    <n v="5974653.5099999998"/>
    <n v="7316517.4000000004"/>
    <n v="341584.35"/>
    <s v=""/>
  </r>
  <r>
    <x v="10"/>
    <s v="26000 - Ministério da Educação"/>
    <x v="91"/>
    <s v="7.644.088,19"/>
    <n v="7165738.7999999998"/>
    <n v="5978740.9400000004"/>
    <n v="41798.019999999997"/>
    <s v=""/>
  </r>
  <r>
    <x v="8"/>
    <s v="26000 - Ministério da Educação"/>
    <x v="91"/>
    <s v="5.662.796,07"/>
    <n v="5374303.2599999998"/>
    <n v="1195418.05"/>
    <n v="6959500.6900000004"/>
    <s v=""/>
  </r>
  <r>
    <x v="5"/>
    <s v="26000 - Ministério da Educação"/>
    <x v="91"/>
    <s v="6.538.502,06"/>
    <n v="9349621.8200000003"/>
    <n v="8949282.8100000005"/>
    <n v="74144.149999999994"/>
    <s v=""/>
  </r>
  <r>
    <x v="11"/>
    <s v="26000 - Ministério da Educação"/>
    <x v="91"/>
    <s v="1.635.034,17"/>
    <n v="2006232.33"/>
    <n v="5638680.8600000003"/>
    <n v="105385.79"/>
    <s v=""/>
  </r>
  <r>
    <x v="0"/>
    <s v="26000 - Ministério da Educação"/>
    <x v="91"/>
    <s v="7.889.278,27"/>
    <n v="6055333.6799999997"/>
    <n v="6421486.5300000003"/>
    <n v="520436.88"/>
    <s v=""/>
  </r>
  <r>
    <x v="7"/>
    <s v="26000 - Ministério da Educação"/>
    <x v="91"/>
    <s v="6.025.202,43"/>
    <n v="6441880.4000000004"/>
    <n v="6155206.8600000003"/>
    <n v="40612.980000000003"/>
    <s v=""/>
  </r>
  <r>
    <x v="4"/>
    <s v="26000 - Ministério da Educação"/>
    <x v="91"/>
    <s v="6.973.883,11"/>
    <n v="9492216.3399999999"/>
    <n v="7473513.3700000001"/>
    <n v="44944.91"/>
    <s v=""/>
  </r>
  <r>
    <x v="2"/>
    <s v="26000 - Ministério da Educação"/>
    <x v="91"/>
    <s v="11.214.573,10"/>
    <n v="6778940.79"/>
    <n v="6477716.2699999996"/>
    <n v="496688.28"/>
    <s v=""/>
  </r>
  <r>
    <x v="1"/>
    <s v="26000 - Ministério da Educação"/>
    <x v="92"/>
    <s v="3.344.330,35"/>
    <n v="12880033.5"/>
    <n v="12549293.210000001"/>
    <n v="71250.179999999993"/>
    <s v=""/>
  </r>
  <r>
    <x v="4"/>
    <s v="26000 - Ministério da Educação"/>
    <x v="92"/>
    <s v="1.336.094,92"/>
    <n v="18616895.789999999"/>
    <n v="16002203.77"/>
    <n v="75941.19"/>
    <s v=""/>
  </r>
  <r>
    <x v="3"/>
    <s v="26000 - Ministério da Educação"/>
    <x v="92"/>
    <s v="2.164.801,47"/>
    <n v="12123623.74"/>
    <n v="14194692.68"/>
    <n v="66998.559999999998"/>
    <s v=""/>
  </r>
  <r>
    <x v="5"/>
    <s v="26000 - Ministério da Educação"/>
    <x v="92"/>
    <s v="6.532.985,13"/>
    <n v="17278234.039999999"/>
    <n v="18125752.199999999"/>
    <n v="40784.550000000003"/>
    <s v=""/>
  </r>
  <r>
    <x v="9"/>
    <s v="26000 - Ministério da Educação"/>
    <x v="92"/>
    <s v="1.749.220,97"/>
    <n v="10077094.52"/>
    <n v="8837918.4499999993"/>
    <n v="2545812.44"/>
    <s v=""/>
  </r>
  <r>
    <x v="6"/>
    <s v="26000 - Ministério da Educação"/>
    <x v="92"/>
    <s v="2.845.598,67"/>
    <n v="11045926.960000001"/>
    <n v="10729819.76"/>
    <n v="1803644.53"/>
    <s v=""/>
  </r>
  <r>
    <x v="10"/>
    <s v="26000 - Ministério da Educação"/>
    <x v="92"/>
    <s v="138.954,74"/>
    <n v="15103424.140000001"/>
    <n v="13016677.35"/>
    <n v="157375.15"/>
    <s v=""/>
  </r>
  <r>
    <x v="0"/>
    <s v="26000 - Ministério da Educação"/>
    <x v="92"/>
    <s v="14.963.847,05"/>
    <n v="11364754.460000001"/>
    <n v="11524819.939999999"/>
    <n v="2333945.9900000002"/>
    <s v=""/>
  </r>
  <r>
    <x v="8"/>
    <s v="26000 - Ministério da Educação"/>
    <x v="92"/>
    <s v="122.613.022,38"/>
    <n v="9860075.4800000004"/>
    <n v="2201517.77"/>
    <n v="13961388.279999999"/>
    <s v=""/>
  </r>
  <r>
    <x v="11"/>
    <s v="26000 - Ministério da Educação"/>
    <x v="92"/>
    <s v="1.252.299,66"/>
    <n v="13367833.58"/>
    <n v="11947858.550000001"/>
    <n v="398727.46"/>
    <s v=""/>
  </r>
  <r>
    <x v="2"/>
    <s v="26000 - Ministério da Educação"/>
    <x v="92"/>
    <s v="3.167.171,59"/>
    <n v="14210019.26"/>
    <n v="13399113.529999999"/>
    <n v="23595.62"/>
    <s v=""/>
  </r>
  <r>
    <x v="7"/>
    <s v="26000 - Ministério da Educação"/>
    <x v="92"/>
    <s v="5.451.815,39"/>
    <n v="13306652.15"/>
    <n v="14000317.710000001"/>
    <n v="55196.43"/>
    <s v=""/>
  </r>
  <r>
    <x v="8"/>
    <s v="26000 - Ministério da Educação"/>
    <x v="93"/>
    <s v="1.724.252.803,30"/>
    <n v="135824293.28"/>
    <n v="22946669.420000002"/>
    <n v="177978314.47999999"/>
    <s v=""/>
  </r>
  <r>
    <x v="0"/>
    <s v="26000 - Ministério da Educação"/>
    <x v="93"/>
    <s v="72.286.002,30"/>
    <n v="150296661.16"/>
    <n v="163078932.63999999"/>
    <n v="4608407.71"/>
    <s v=""/>
  </r>
  <r>
    <x v="5"/>
    <s v="26000 - Ministério da Educação"/>
    <x v="93"/>
    <s v="28.973.016,84"/>
    <n v="171898526.38"/>
    <n v="175217231.93000001"/>
    <n v="3024113.62"/>
    <s v=""/>
  </r>
  <r>
    <x v="9"/>
    <s v="26000 - Ministério da Educação"/>
    <x v="93"/>
    <s v="15.711.204,13"/>
    <n v="138927604.68000001"/>
    <n v="125698040.45999999"/>
    <n v="7178357.71"/>
    <s v=""/>
  </r>
  <r>
    <x v="11"/>
    <s v="26000 - Ministério da Educação"/>
    <x v="93"/>
    <s v="8.940.689,48"/>
    <n v="152834726.06999999"/>
    <n v="145342762.69"/>
    <n v="6535484.6200000001"/>
    <s v=""/>
  </r>
  <r>
    <x v="4"/>
    <s v="26000 - Ministério da Educação"/>
    <x v="93"/>
    <s v="4.917.704,35"/>
    <n v="226090638.81999999"/>
    <n v="178093661.53"/>
    <n v="4382878.38"/>
    <s v=""/>
  </r>
  <r>
    <x v="3"/>
    <s v="26000 - Ministério da Educação"/>
    <x v="93"/>
    <s v="28.922.500,66"/>
    <n v="154849384.16"/>
    <n v="198423872.28"/>
    <n v="4921433.7699999996"/>
    <s v=""/>
  </r>
  <r>
    <x v="10"/>
    <s v="26000 - Ministério da Educação"/>
    <x v="93"/>
    <s v="19.028.523,87"/>
    <n v="197569377.15000001"/>
    <n v="155157093.77000001"/>
    <n v="6501938.6100000003"/>
    <s v=""/>
  </r>
  <r>
    <x v="6"/>
    <s v="26000 - Ministério da Educação"/>
    <x v="93"/>
    <s v="18.917.545,62"/>
    <n v="141008278.13"/>
    <n v="138925245.34"/>
    <n v="7685178.3899999997"/>
    <s v=""/>
  </r>
  <r>
    <x v="7"/>
    <s v="26000 - Ministério da Educação"/>
    <x v="93"/>
    <s v="33.848.990,56"/>
    <n v="155615415.75"/>
    <n v="167885270.16"/>
    <n v="2620442.0299999998"/>
    <s v=""/>
  </r>
  <r>
    <x v="1"/>
    <s v="26000 - Ministério da Educação"/>
    <x v="93"/>
    <s v="2.384.467,53"/>
    <n v="152418118.66"/>
    <n v="141171237.65000001"/>
    <n v="3355892.83"/>
    <s v=""/>
  </r>
  <r>
    <x v="2"/>
    <s v="26000 - Ministério da Educação"/>
    <x v="93"/>
    <s v="12.267.115,70"/>
    <n v="158740745.21000001"/>
    <n v="157594030.44999999"/>
    <n v="2682277.59"/>
    <s v=""/>
  </r>
  <r>
    <x v="11"/>
    <s v="26000 - Ministério da Educação"/>
    <x v="94"/>
    <s v="8.830.143,68"/>
    <n v="8184749.8399999999"/>
    <n v="7228982.8099999996"/>
    <n v="475776.75"/>
    <s v=""/>
  </r>
  <r>
    <x v="9"/>
    <s v="26000 - Ministério da Educação"/>
    <x v="94"/>
    <s v="7.804.650,30"/>
    <n v="6298754.4299999997"/>
    <n v="5328219.92"/>
    <n v="2329540.5099999998"/>
    <s v=""/>
  </r>
  <r>
    <x v="6"/>
    <s v="26000 - Ministério da Educação"/>
    <x v="94"/>
    <s v="5.523.067,91"/>
    <n v="6785746.71"/>
    <n v="6651174.3499999996"/>
    <n v="1161661.8999999999"/>
    <s v=""/>
  </r>
  <r>
    <x v="10"/>
    <s v="26000 - Ministério da Educação"/>
    <x v="94"/>
    <s v="10.162.790,01"/>
    <n v="10141346.380000001"/>
    <n v="8079430.0899999999"/>
    <n v="140816.21"/>
    <s v=""/>
  </r>
  <r>
    <x v="7"/>
    <s v="26000 - Ministério da Educação"/>
    <x v="94"/>
    <s v="8.306.795,35"/>
    <n v="8503753.5399999991"/>
    <n v="7840550.3700000001"/>
    <n v="69345.81"/>
    <s v=""/>
  </r>
  <r>
    <x v="5"/>
    <s v="26000 - Ministério da Educação"/>
    <x v="94"/>
    <s v="10.936.422,58"/>
    <n v="12133801.1"/>
    <n v="11626701.59"/>
    <n v="169807.81"/>
    <s v=""/>
  </r>
  <r>
    <x v="1"/>
    <s v="26000 - Ministério da Educação"/>
    <x v="94"/>
    <s v="8.078.027,91"/>
    <n v="8001406.2800000003"/>
    <n v="9379955.3399999999"/>
    <n v="66797.259999999995"/>
    <s v=""/>
  </r>
  <r>
    <x v="0"/>
    <s v="26000 - Ministério da Educação"/>
    <x v="94"/>
    <s v="8.230.592,52"/>
    <n v="7114336.5899999999"/>
    <n v="6963797.29"/>
    <n v="542188.15"/>
    <s v=""/>
  </r>
  <r>
    <x v="8"/>
    <s v="26000 - Ministério da Educação"/>
    <x v="94"/>
    <s v="7.162.872,21"/>
    <n v="5808668.5800000001"/>
    <n v="1317620.56"/>
    <n v="9393727.5299999993"/>
    <s v=""/>
  </r>
  <r>
    <x v="3"/>
    <s v="26000 - Ministério da Educação"/>
    <x v="94"/>
    <s v="8.770.997,66"/>
    <n v="9315935.1500000004"/>
    <n v="10357524"/>
    <n v="243765.08"/>
    <s v=""/>
  </r>
  <r>
    <x v="4"/>
    <s v="26000 - Ministério da Educação"/>
    <x v="94"/>
    <s v="14.534.952,03"/>
    <n v="11534354.140000001"/>
    <n v="9882626.6799999997"/>
    <n v="49110.18"/>
    <s v=""/>
  </r>
  <r>
    <x v="2"/>
    <s v="26000 - Ministério da Educação"/>
    <x v="94"/>
    <s v="8.984.311,40"/>
    <n v="8396819.5999999996"/>
    <n v="8125805.9699999997"/>
    <n v="132096.64000000001"/>
    <s v=""/>
  </r>
  <r>
    <x v="6"/>
    <s v="26000 - Ministério da Educação"/>
    <x v="95"/>
    <s v="9.632.637,82"/>
    <n v="92553896.140000001"/>
    <n v="92788369.010000005"/>
    <n v="4358281.72"/>
    <s v=""/>
  </r>
  <r>
    <x v="5"/>
    <s v="26000 - Ministério da Educação"/>
    <x v="95"/>
    <s v="51.374.858,50"/>
    <n v="124623708.58"/>
    <n v="135232962.88999999"/>
    <n v="344881"/>
    <s v=""/>
  </r>
  <r>
    <x v="1"/>
    <s v="26000 - Ministério da Educação"/>
    <x v="95"/>
    <s v="11.023.609,46"/>
    <n v="97396717.319999993"/>
    <n v="99193119.519999996"/>
    <n v="1546016.78"/>
    <s v=""/>
  </r>
  <r>
    <x v="8"/>
    <s v="26000 - Ministério da Educação"/>
    <x v="95"/>
    <s v="1.080.519.850,29"/>
    <n v="92156035.439999998"/>
    <n v="14963764.060000001"/>
    <n v="105232494.91"/>
    <s v=""/>
  </r>
  <r>
    <x v="4"/>
    <s v="26000 - Ministério da Educação"/>
    <x v="95"/>
    <s v="36.185.990,25"/>
    <n v="143202676.28999999"/>
    <n v="108617801.26000001"/>
    <n v="87009.77"/>
    <s v=""/>
  </r>
  <r>
    <x v="2"/>
    <s v="26000 - Ministério da Educação"/>
    <x v="95"/>
    <s v="13.321.831,50"/>
    <n v="98275862.799999997"/>
    <n v="97209212.409999996"/>
    <n v="315500.63"/>
    <s v=""/>
  </r>
  <r>
    <x v="10"/>
    <s v="26000 - Ministério da Educação"/>
    <x v="95"/>
    <s v="21.702.502,70"/>
    <n v="126795921.81"/>
    <n v="101632020.67"/>
    <n v="1096794.3700000001"/>
    <s v=""/>
  </r>
  <r>
    <x v="9"/>
    <s v="26000 - Ministério da Educação"/>
    <x v="95"/>
    <s v="8.477.443,74"/>
    <n v="90007035.189999998"/>
    <n v="92716549.180000007"/>
    <n v="5354905.5"/>
    <s v=""/>
  </r>
  <r>
    <x v="3"/>
    <s v="26000 - Ministério da Educação"/>
    <x v="95"/>
    <s v="14.100.994,35"/>
    <n v="100770195.92"/>
    <n v="127831320.40000001"/>
    <n v="554658.54"/>
    <s v=""/>
  </r>
  <r>
    <x v="7"/>
    <s v="26000 - Ministério da Educação"/>
    <x v="95"/>
    <s v="20.311.938,84"/>
    <n v="98860238.260000005"/>
    <n v="99563240.950000003"/>
    <n v="367213.29"/>
    <s v=""/>
  </r>
  <r>
    <x v="11"/>
    <s v="26000 - Ministério da Educação"/>
    <x v="95"/>
    <s v="20.572.456,42"/>
    <n v="101695480.59999999"/>
    <n v="96445445.700000003"/>
    <n v="2751138.99"/>
    <s v=""/>
  </r>
  <r>
    <x v="0"/>
    <s v="26000 - Ministério da Educação"/>
    <x v="95"/>
    <s v="24.686.017,44"/>
    <n v="96795978.25"/>
    <n v="95157059.579999998"/>
    <n v="5315664.34"/>
    <s v=""/>
  </r>
  <r>
    <x v="9"/>
    <s v="26000 - Ministério da Educação"/>
    <x v="96"/>
    <s v="6.423.632,51"/>
    <n v="49580423.490000002"/>
    <n v="50479712.469999999"/>
    <n v="792151.77"/>
    <s v=""/>
  </r>
  <r>
    <x v="0"/>
    <s v="26000 - Ministério da Educação"/>
    <x v="96"/>
    <s v="3.793.901,56"/>
    <n v="49849039.270000003"/>
    <n v="48623607.140000001"/>
    <n v="1237871.81"/>
    <s v=""/>
  </r>
  <r>
    <x v="6"/>
    <s v="26000 - Ministério da Educação"/>
    <x v="96"/>
    <s v="5.389.196,89"/>
    <n v="49685752.630000003"/>
    <n v="49289613.75"/>
    <n v="3263492.57"/>
    <s v=""/>
  </r>
  <r>
    <x v="3"/>
    <s v="26000 - Ministério da Educação"/>
    <x v="96"/>
    <s v="12.140.512,08"/>
    <n v="51846954.590000004"/>
    <n v="67387329.439999998"/>
    <n v="1378248.97"/>
    <s v=""/>
  </r>
  <r>
    <x v="1"/>
    <s v="26000 - Ministério da Educação"/>
    <x v="96"/>
    <s v="5.782.002,27"/>
    <n v="52527709.740000002"/>
    <n v="51208057.670000002"/>
    <n v="886632.47"/>
    <s v=""/>
  </r>
  <r>
    <x v="10"/>
    <s v="26000 - Ministério da Educação"/>
    <x v="96"/>
    <s v="108.313.754,99"/>
    <n v="67168824.650000006"/>
    <n v="54849122.560000002"/>
    <n v="1580185.46"/>
    <s v=""/>
  </r>
  <r>
    <x v="7"/>
    <s v="26000 - Ministério da Educação"/>
    <x v="96"/>
    <s v="4.577.462,44"/>
    <n v="50461593.130000003"/>
    <n v="50293630.539999999"/>
    <n v="2427348.7799999998"/>
    <s v=""/>
  </r>
  <r>
    <x v="5"/>
    <s v="26000 - Ministério da Educação"/>
    <x v="96"/>
    <s v="19.574.520,66"/>
    <n v="61586080.75"/>
    <n v="64675155.259999998"/>
    <n v="1831108.56"/>
    <s v=""/>
  </r>
  <r>
    <x v="11"/>
    <s v="26000 - Ministério da Educação"/>
    <x v="96"/>
    <s v="15.354.828,48"/>
    <n v="55756016.719999999"/>
    <n v="53344792.020000003"/>
    <n v="1873295.81"/>
    <s v=""/>
  </r>
  <r>
    <x v="2"/>
    <s v="26000 - Ministério da Educação"/>
    <x v="96"/>
    <s v="8.047.880,71"/>
    <n v="52779141.659999996"/>
    <n v="53942341.439999998"/>
    <n v="224679.05"/>
    <s v=""/>
  </r>
  <r>
    <x v="4"/>
    <s v="26000 - Ministério da Educação"/>
    <x v="96"/>
    <s v="15.163.338,47"/>
    <n v="79312930.269999996"/>
    <n v="54213009.590000004"/>
    <n v="1575035.71"/>
    <s v=""/>
  </r>
  <r>
    <x v="8"/>
    <s v="26000 - Ministério da Educação"/>
    <x v="96"/>
    <s v="587.298.283,10"/>
    <n v="47573238.119999997"/>
    <n v="8892357.0399999991"/>
    <n v="48519667.630000003"/>
    <s v=""/>
  </r>
  <r>
    <x v="4"/>
    <s v="26000 - Ministério da Educação"/>
    <x v="97"/>
    <s v="14.771.454,46"/>
    <n v="15336801.16"/>
    <n v="11886332.619999999"/>
    <n v="296402.78999999998"/>
    <s v=""/>
  </r>
  <r>
    <x v="2"/>
    <s v="26000 - Ministério da Educação"/>
    <x v="97"/>
    <s v="3.579.631,57"/>
    <n v="10292091.119999999"/>
    <n v="10105226.880000001"/>
    <n v="411612.53"/>
    <s v=""/>
  </r>
  <r>
    <x v="5"/>
    <s v="26000 - Ministério da Educação"/>
    <x v="97"/>
    <s v="7.466.790,45"/>
    <n v="13634750.289999999"/>
    <n v="13676400.76"/>
    <n v="171970.88"/>
    <s v=""/>
  </r>
  <r>
    <x v="7"/>
    <s v="26000 - Ministério da Educação"/>
    <x v="97"/>
    <s v="278.013,89"/>
    <n v="10280372.1"/>
    <n v="10387143.619999999"/>
    <n v="132996.22"/>
    <s v=""/>
  </r>
  <r>
    <x v="1"/>
    <s v="26000 - Ministério da Educação"/>
    <x v="97"/>
    <s v="- 141.204,92"/>
    <n v="9823640.6899999995"/>
    <n v="10091753.630000001"/>
    <n v="255248.49"/>
    <s v=""/>
  </r>
  <r>
    <x v="0"/>
    <s v="26000 - Ministério da Educação"/>
    <x v="97"/>
    <s v="2.336.167,54"/>
    <n v="8171875.9400000004"/>
    <n v="8101294.6399999997"/>
    <n v="263300"/>
    <s v=""/>
  </r>
  <r>
    <x v="10"/>
    <s v="26000 - Ministério da Educação"/>
    <x v="97"/>
    <s v="3.412.851,90"/>
    <n v="13049218.33"/>
    <n v="9884924.5999999996"/>
    <n v="134350.19"/>
    <s v=""/>
  </r>
  <r>
    <x v="3"/>
    <s v="26000 - Ministério da Educação"/>
    <x v="97"/>
    <s v="5.451.073,56"/>
    <n v="9711322.4100000001"/>
    <n v="12323189.42"/>
    <n v="367939.89"/>
    <s v=""/>
  </r>
  <r>
    <x v="9"/>
    <s v="26000 - Ministério da Educação"/>
    <x v="97"/>
    <s v="253.797,05"/>
    <n v="7688389.8700000001"/>
    <n v="6739824.2800000003"/>
    <n v="1586172.45"/>
    <s v=""/>
  </r>
  <r>
    <x v="6"/>
    <s v="26000 - Ministério da Educação"/>
    <x v="97"/>
    <s v="276.166,50"/>
    <n v="7896605.8899999997"/>
    <n v="7797636.9199999999"/>
    <n v="407870.34"/>
    <s v=""/>
  </r>
  <r>
    <x v="11"/>
    <s v="26000 - Ministério da Educação"/>
    <x v="97"/>
    <s v="7.927.756,87"/>
    <n v="9044909.9900000002"/>
    <n v="8440540.5199999996"/>
    <n v="277911.58"/>
    <s v=""/>
  </r>
  <r>
    <x v="8"/>
    <s v="26000 - Ministério da Educação"/>
    <x v="97"/>
    <s v="90.249.339,80"/>
    <n v="7712168.29"/>
    <n v="1701471.38"/>
    <n v="9487801.8800000008"/>
    <s v=""/>
  </r>
  <r>
    <x v="8"/>
    <s v="26000 - Ministério da Educação"/>
    <x v="98"/>
    <s v="113.946.083,13"/>
    <n v="9463702.7899999991"/>
    <n v="1726061.48"/>
    <n v="15241899.9"/>
    <s v=""/>
  </r>
  <r>
    <x v="0"/>
    <s v="26000 - Ministério da Educação"/>
    <x v="98"/>
    <s v="10.021.686,74"/>
    <n v="11048155.359999999"/>
    <n v="11246460.949999999"/>
    <n v="878475.16"/>
    <s v=""/>
  </r>
  <r>
    <x v="1"/>
    <s v="26000 - Ministério da Educação"/>
    <x v="98"/>
    <s v="41.563,75"/>
    <n v="12105476.76"/>
    <n v="12175611.970000001"/>
    <n v="576497.64"/>
    <s v=""/>
  </r>
  <r>
    <x v="9"/>
    <s v="26000 - Ministério da Educação"/>
    <x v="98"/>
    <s v="- 2.408.041,58"/>
    <n v="9947787.4399999995"/>
    <n v="8579084.8399999999"/>
    <n v="2992955.45"/>
    <s v=""/>
  </r>
  <r>
    <x v="10"/>
    <s v="26000 - Ministério da Educação"/>
    <x v="98"/>
    <s v="615.087,00"/>
    <n v="13781481.060000001"/>
    <n v="11010077.07"/>
    <n v="418303.45"/>
    <s v=""/>
  </r>
  <r>
    <x v="4"/>
    <s v="26000 - Ministério da Educação"/>
    <x v="98"/>
    <s v="- 1.039.602,14"/>
    <n v="15393005.220000001"/>
    <n v="12115610.4"/>
    <n v="196639.75"/>
    <s v=""/>
  </r>
  <r>
    <x v="3"/>
    <s v="26000 - Ministério da Educação"/>
    <x v="98"/>
    <s v="8.865.565,73"/>
    <n v="10645580.93"/>
    <n v="13667074.5"/>
    <n v="537174.02"/>
    <s v=""/>
  </r>
  <r>
    <x v="6"/>
    <s v="26000 - Ministério da Educação"/>
    <x v="98"/>
    <s v="7.017.772,50"/>
    <n v="10009398.560000001"/>
    <n v="9808663.2599999998"/>
    <n v="1828920.69"/>
    <s v=""/>
  </r>
  <r>
    <x v="5"/>
    <s v="26000 - Ministério da Educação"/>
    <x v="98"/>
    <s v="3.175.422,29"/>
    <n v="16024854.619999999"/>
    <n v="16120776.27"/>
    <n v="710106.55"/>
    <s v=""/>
  </r>
  <r>
    <x v="7"/>
    <s v="26000 - Ministério da Educação"/>
    <x v="98"/>
    <s v="1.861.471,33"/>
    <n v="11329826.27"/>
    <n v="11046248.66"/>
    <n v="119656.58"/>
    <s v=""/>
  </r>
  <r>
    <x v="11"/>
    <s v="26000 - Ministério da Educação"/>
    <x v="98"/>
    <s v="5.058.505,28"/>
    <n v="11281780.380000001"/>
    <n v="10918293.029999999"/>
    <n v="720338.07"/>
    <s v=""/>
  </r>
  <r>
    <x v="2"/>
    <s v="26000 - Ministério da Educação"/>
    <x v="98"/>
    <s v="3.584.208,70"/>
    <n v="12698275.15"/>
    <n v="13338572.24"/>
    <n v="235762.05"/>
    <s v=""/>
  </r>
  <r>
    <x v="9"/>
    <s v="26000 - Ministério da Educação"/>
    <x v="99"/>
    <s v="12.983.189,71"/>
    <n v="18240527.670000002"/>
    <n v="14642217.18"/>
    <n v="3031682.8"/>
    <s v=""/>
  </r>
  <r>
    <x v="0"/>
    <s v="26000 - Ministério da Educação"/>
    <x v="99"/>
    <s v="7.541.102,16"/>
    <n v="20453015.09"/>
    <n v="19953469.510000002"/>
    <n v="1157190.6599999999"/>
    <s v=""/>
  </r>
  <r>
    <x v="6"/>
    <s v="26000 - Ministério da Educação"/>
    <x v="99"/>
    <s v="- 3.173.827,24"/>
    <n v="16772383.810000001"/>
    <n v="18738810.969999999"/>
    <n v="2102952.36"/>
    <s v=""/>
  </r>
  <r>
    <x v="3"/>
    <s v="26000 - Ministério da Educação"/>
    <x v="99"/>
    <s v="19.316.921,14"/>
    <n v="21499432.449999999"/>
    <n v="27926867.859999999"/>
    <n v="727942.24"/>
    <s v=""/>
  </r>
  <r>
    <x v="10"/>
    <s v="26000 - Ministério da Educação"/>
    <x v="99"/>
    <s v="10.528.704,81"/>
    <n v="27533978.829999998"/>
    <n v="20426293.5"/>
    <n v="1263430.82"/>
    <s v=""/>
  </r>
  <r>
    <x v="4"/>
    <s v="26000 - Ministério da Educação"/>
    <x v="99"/>
    <s v="1.463.648,98"/>
    <n v="31374467.550000001"/>
    <n v="26378402.739999998"/>
    <n v="352809.63"/>
    <s v=""/>
  </r>
  <r>
    <x v="2"/>
    <s v="26000 - Ministério da Educação"/>
    <x v="99"/>
    <s v="1.771.842,90"/>
    <n v="23062154.559999999"/>
    <n v="23167702.91"/>
    <n v="252509.29"/>
    <s v=""/>
  </r>
  <r>
    <x v="1"/>
    <s v="26000 - Ministério da Educação"/>
    <x v="99"/>
    <s v="- 1.085.650,76"/>
    <n v="21131838.920000002"/>
    <n v="20864821.629999999"/>
    <n v="609560.01"/>
    <s v=""/>
  </r>
  <r>
    <x v="5"/>
    <s v="26000 - Ministério da Educação"/>
    <x v="99"/>
    <s v="10.388.682,53"/>
    <n v="29661604.190000001"/>
    <n v="27780784.73"/>
    <n v="520061.46"/>
    <s v=""/>
  </r>
  <r>
    <x v="11"/>
    <s v="26000 - Ministério da Educação"/>
    <x v="99"/>
    <s v="6.454.866,23"/>
    <n v="20551374.469999999"/>
    <n v="19506098.66"/>
    <n v="1449078.11"/>
    <s v=""/>
  </r>
  <r>
    <x v="7"/>
    <s v="26000 - Ministério da Educação"/>
    <x v="99"/>
    <s v="9.072.980,80"/>
    <n v="20451998.75"/>
    <n v="21362761.850000001"/>
    <n v="383766.37"/>
    <s v=""/>
  </r>
  <r>
    <x v="8"/>
    <s v="26000 - Ministério da Educação"/>
    <x v="99"/>
    <s v="200.654.857,20"/>
    <n v="16268514.07"/>
    <n v="3797440.67"/>
    <n v="20823500.18"/>
    <s v=""/>
  </r>
  <r>
    <x v="1"/>
    <s v="26000 - Ministério da Educação"/>
    <x v="100"/>
    <s v="48.313.555,50"/>
    <n v="171222258.25999999"/>
    <n v="170454676.69999999"/>
    <n v="1455230.31"/>
    <s v=""/>
  </r>
  <r>
    <x v="0"/>
    <s v="26000 - Ministério da Educação"/>
    <x v="100"/>
    <s v="38.859.671,43"/>
    <n v="161138037.41"/>
    <n v="160864639.75"/>
    <n v="5351594.0199999996"/>
    <s v=""/>
  </r>
  <r>
    <x v="7"/>
    <s v="26000 - Ministério da Educação"/>
    <x v="100"/>
    <s v="19.958.462,63"/>
    <n v="167561668.81"/>
    <n v="168268763.80000001"/>
    <n v="2257828.2599999998"/>
    <s v=""/>
  </r>
  <r>
    <x v="2"/>
    <s v="26000 - Ministério da Educação"/>
    <x v="100"/>
    <s v="211.139.375,98"/>
    <n v="184528276.44"/>
    <n v="180960950.34999999"/>
    <n v="473005.33"/>
    <s v=""/>
  </r>
  <r>
    <x v="6"/>
    <s v="26000 - Ministério da Educação"/>
    <x v="100"/>
    <s v="13.550.416,52"/>
    <n v="161165322.78999999"/>
    <n v="154414204.25"/>
    <n v="17565944.289999999"/>
    <s v=""/>
  </r>
  <r>
    <x v="3"/>
    <s v="26000 - Ministério da Educação"/>
    <x v="100"/>
    <s v="11.260.121,97"/>
    <n v="172082345.43000001"/>
    <n v="221489889.58000001"/>
    <n v="5070632.3499999996"/>
    <s v=""/>
  </r>
  <r>
    <x v="10"/>
    <s v="26000 - Ministério da Educação"/>
    <x v="100"/>
    <s v="36.877.892,05"/>
    <n v="215899629.22"/>
    <n v="174908229.72"/>
    <n v="4923141.0999999996"/>
    <s v=""/>
  </r>
  <r>
    <x v="8"/>
    <s v="26000 - Ministério da Educação"/>
    <x v="100"/>
    <s v="1.654.840.414,55"/>
    <n v="150765123.37"/>
    <n v="30534373.07"/>
    <n v="163395233.69999999"/>
    <s v=""/>
  </r>
  <r>
    <x v="9"/>
    <s v="26000 - Ministério da Educação"/>
    <x v="100"/>
    <s v="18.094.864,36"/>
    <n v="150574292.78999999"/>
    <n v="136100805.99000001"/>
    <n v="35998210.350000001"/>
    <s v=""/>
  </r>
  <r>
    <x v="5"/>
    <s v="26000 - Ministério da Educação"/>
    <x v="100"/>
    <s v="57.947.617,32"/>
    <n v="206580171.99000001"/>
    <n v="223002821.13"/>
    <n v="448737.52"/>
    <s v=""/>
  </r>
  <r>
    <x v="11"/>
    <s v="26000 - Ministério da Educação"/>
    <x v="100"/>
    <s v="57.593.128,34"/>
    <n v="174112204"/>
    <n v="163754113.81999999"/>
    <n v="8379877.9100000001"/>
    <s v=""/>
  </r>
  <r>
    <x v="4"/>
    <s v="26000 - Ministério da Educação"/>
    <x v="100"/>
    <s v="69.361.878,40"/>
    <n v="259772420.72"/>
    <n v="207494849.47999999"/>
    <n v="1137025.6200000001"/>
    <s v=""/>
  </r>
  <r>
    <x v="10"/>
    <s v="26000 - Ministério da Educação"/>
    <x v="101"/>
    <s v="139.518.516,02"/>
    <n v="195587354.30000001"/>
    <n v="163652195.11000001"/>
    <n v="3765938.91"/>
    <s v=""/>
  </r>
  <r>
    <x v="1"/>
    <s v="26000 - Ministério da Educação"/>
    <x v="101"/>
    <s v="6.749.163,92"/>
    <n v="149285773.63"/>
    <n v="148500236.75999999"/>
    <n v="2462784.0499999998"/>
    <s v=""/>
  </r>
  <r>
    <x v="2"/>
    <s v="26000 - Ministério da Educação"/>
    <x v="101"/>
    <s v="125.988.578,25"/>
    <n v="139360334.41"/>
    <n v="139676839.06999999"/>
    <n v="5188728.04"/>
    <s v=""/>
  </r>
  <r>
    <x v="0"/>
    <s v="26000 - Ministério da Educação"/>
    <x v="101"/>
    <s v="44.785.060,63"/>
    <n v="147729148.00999999"/>
    <n v="137714646.56999999"/>
    <n v="5962156.7800000003"/>
    <s v=""/>
  </r>
  <r>
    <x v="3"/>
    <s v="26000 - Ministério da Educação"/>
    <x v="101"/>
    <s v="389.627.623,18"/>
    <n v="147728500.58000001"/>
    <n v="177378618.52000001"/>
    <n v="5620899.5300000003"/>
    <s v=""/>
  </r>
  <r>
    <x v="6"/>
    <s v="26000 - Ministério da Educação"/>
    <x v="101"/>
    <s v="21.567.344,64"/>
    <n v="130700179.06"/>
    <n v="136226456.97"/>
    <n v="7747513.6200000001"/>
    <s v=""/>
  </r>
  <r>
    <x v="8"/>
    <s v="26000 - Ministério da Educação"/>
    <x v="101"/>
    <s v="773.550.154,82"/>
    <n v="132782345.2"/>
    <n v="24137785.170000002"/>
    <n v="130552377.02"/>
    <s v=""/>
  </r>
  <r>
    <x v="11"/>
    <s v="26000 - Ministério da Educação"/>
    <x v="101"/>
    <s v="52.553.220,59"/>
    <n v="153937642.16999999"/>
    <n v="141130388.80000001"/>
    <n v="2869086.02"/>
    <s v=""/>
  </r>
  <r>
    <x v="7"/>
    <s v="26000 - Ministério da Educação"/>
    <x v="101"/>
    <s v="12.854.443,59"/>
    <n v="138392903.78999999"/>
    <n v="144533308.06999999"/>
    <n v="2232454.69"/>
    <s v=""/>
  </r>
  <r>
    <x v="4"/>
    <s v="26000 - Ministério da Educação"/>
    <x v="101"/>
    <s v="303.630.343,51"/>
    <n v="217787614.58000001"/>
    <n v="163521444.61000001"/>
    <n v="1110096.5"/>
    <s v=""/>
  </r>
  <r>
    <x v="5"/>
    <s v="26000 - Ministério da Educação"/>
    <x v="101"/>
    <s v="27.158.618,23"/>
    <n v="169392710.81999999"/>
    <n v="187710920.91"/>
    <n v="912678.61"/>
    <s v=""/>
  </r>
  <r>
    <x v="9"/>
    <s v="26000 - Ministério da Educação"/>
    <x v="101"/>
    <s v="- 3.477.199,06"/>
    <n v="136315784.03999999"/>
    <n v="137602739.59"/>
    <n v="12101178.41"/>
    <s v=""/>
  </r>
  <r>
    <x v="7"/>
    <s v="26000 - Ministério da Educação"/>
    <x v="102"/>
    <s v="17.448.632,68"/>
    <n v="37426790.390000001"/>
    <n v="34594959.729999997"/>
    <n v="546863.39"/>
    <s v=""/>
  </r>
  <r>
    <x v="3"/>
    <s v="26000 - Ministério da Educação"/>
    <x v="102"/>
    <s v="3.087.276,98"/>
    <n v="32789579.760000002"/>
    <n v="38272443.969999999"/>
    <n v="730673.41"/>
    <s v=""/>
  </r>
  <r>
    <x v="11"/>
    <s v="26000 - Ministério da Educação"/>
    <x v="102"/>
    <s v="15.469.867,34"/>
    <n v="33858314.359999999"/>
    <n v="31980383.280000001"/>
    <n v="3954402.69"/>
    <s v=""/>
  </r>
  <r>
    <x v="0"/>
    <s v="26000 - Ministério da Educação"/>
    <x v="102"/>
    <s v="22.019.884,27"/>
    <n v="30448199.199999999"/>
    <n v="29958042.640000001"/>
    <n v="11893046.6"/>
    <s v=""/>
  </r>
  <r>
    <x v="8"/>
    <s v="26000 - Ministério da Educação"/>
    <x v="102"/>
    <s v="345.857.299,27"/>
    <n v="27693884.75"/>
    <n v="5750872.4100000001"/>
    <n v="26167390.600000001"/>
    <s v=""/>
  </r>
  <r>
    <x v="1"/>
    <s v="26000 - Ministério da Educação"/>
    <x v="102"/>
    <s v="1.756.045,02"/>
    <n v="32458805.690000001"/>
    <n v="31992652.390000001"/>
    <n v="2037544.99"/>
    <s v=""/>
  </r>
  <r>
    <x v="10"/>
    <s v="26000 - Ministério da Educação"/>
    <x v="102"/>
    <s v="4.486.560,51"/>
    <n v="40685389.200000003"/>
    <n v="34833976.07"/>
    <n v="769460.05"/>
    <s v=""/>
  </r>
  <r>
    <x v="2"/>
    <s v="26000 - Ministério da Educação"/>
    <x v="102"/>
    <s v="2.931.014,26"/>
    <n v="34123944.640000001"/>
    <n v="34619750.759999998"/>
    <n v="133321.28"/>
    <s v=""/>
  </r>
  <r>
    <x v="6"/>
    <s v="26000 - Ministério da Educação"/>
    <x v="102"/>
    <s v="3.128.946,11"/>
    <n v="28273824.469999999"/>
    <n v="28001981.100000001"/>
    <n v="4344387.47"/>
    <s v=""/>
  </r>
  <r>
    <x v="4"/>
    <s v="26000 - Ministério da Educação"/>
    <x v="102"/>
    <s v="7.799.742,72"/>
    <n v="55252993.130000003"/>
    <n v="43872301.609999999"/>
    <n v="745784.99"/>
    <s v=""/>
  </r>
  <r>
    <x v="9"/>
    <s v="26000 - Ministério da Educação"/>
    <x v="102"/>
    <s v="2.336.521,08"/>
    <n v="26984544.850000001"/>
    <n v="24647593.25"/>
    <n v="6756786.0700000003"/>
    <s v=""/>
  </r>
  <r>
    <x v="5"/>
    <s v="26000 - Ministério da Educação"/>
    <x v="102"/>
    <s v="15.449.992,70"/>
    <n v="44535405"/>
    <n v="48612800.079999998"/>
    <n v="713120"/>
    <s v=""/>
  </r>
  <r>
    <x v="0"/>
    <s v="26000 - Ministério da Educação"/>
    <x v="103"/>
    <s v="51.083.537,40"/>
    <n v="342408952.26999998"/>
    <n v="337306672.22000003"/>
    <n v="8060934.3099999996"/>
    <s v=""/>
  </r>
  <r>
    <x v="7"/>
    <s v="26000 - Ministério da Educação"/>
    <x v="103"/>
    <s v="246.181.812,83"/>
    <n v="340651672.12"/>
    <n v="343865288.81"/>
    <n v="1066172.68"/>
    <s v=""/>
  </r>
  <r>
    <x v="2"/>
    <s v="26000 - Ministério da Educação"/>
    <x v="103"/>
    <s v="372.831.101,84"/>
    <n v="345179428.39999998"/>
    <n v="345067846.07999998"/>
    <n v="3686540.87"/>
    <s v=""/>
  </r>
  <r>
    <x v="5"/>
    <s v="26000 - Ministério da Educação"/>
    <x v="103"/>
    <s v="152.242.724,99"/>
    <n v="418838706.07999998"/>
    <n v="475392800.44999999"/>
    <n v="1418077.19"/>
    <s v=""/>
  </r>
  <r>
    <x v="6"/>
    <s v="26000 - Ministério da Educação"/>
    <x v="103"/>
    <s v="40.536.948,79"/>
    <n v="332318271.49000001"/>
    <n v="328664241.44"/>
    <n v="16415371.32"/>
    <s v=""/>
  </r>
  <r>
    <x v="3"/>
    <s v="26000 - Ministério da Educação"/>
    <x v="103"/>
    <s v="119.467.446,82"/>
    <n v="361149540.80000001"/>
    <n v="458977198.58999997"/>
    <n v="4840177.42"/>
    <s v=""/>
  </r>
  <r>
    <x v="1"/>
    <s v="26000 - Ministério da Educação"/>
    <x v="103"/>
    <s v="61.057.625,48"/>
    <n v="353738863.04000002"/>
    <n v="345234656.04000002"/>
    <n v="1118191.8500000001"/>
    <s v=""/>
  </r>
  <r>
    <x v="10"/>
    <s v="26000 - Ministério da Educação"/>
    <x v="103"/>
    <s v="32.871.694,78"/>
    <n v="445459801.64999998"/>
    <n v="358816965.85000002"/>
    <n v="1797103.27"/>
    <s v=""/>
  </r>
  <r>
    <x v="4"/>
    <s v="26000 - Ministério da Educação"/>
    <x v="103"/>
    <s v="192.320.558,67"/>
    <n v="530439402.89999998"/>
    <n v="411120099.39999998"/>
    <n v="852028.95"/>
    <s v=""/>
  </r>
  <r>
    <x v="11"/>
    <s v="26000 - Ministério da Educação"/>
    <x v="103"/>
    <s v="208.964.356,56"/>
    <n v="377049113.83999997"/>
    <n v="357237830.55000001"/>
    <n v="14283854.51"/>
    <s v=""/>
  </r>
  <r>
    <x v="8"/>
    <s v="26000 - Ministério da Educação"/>
    <x v="103"/>
    <s v="3.124.700.256,44"/>
    <n v="340200348.63999999"/>
    <n v="71176817.819999993"/>
    <n v="339646368.63999999"/>
    <s v=""/>
  </r>
  <r>
    <x v="9"/>
    <s v="26000 - Ministério da Educação"/>
    <x v="103"/>
    <s v="44.253.348,96"/>
    <n v="325736340.62"/>
    <n v="301251699.82999998"/>
    <n v="50590057.509999998"/>
    <s v=""/>
  </r>
  <r>
    <x v="2"/>
    <s v="26000 - Ministério da Educação"/>
    <x v="104"/>
    <s v="14.819.089,91"/>
    <n v="52940919.219999999"/>
    <n v="54517876.530000001"/>
    <n v="56094.64"/>
    <s v=""/>
  </r>
  <r>
    <x v="3"/>
    <s v="26000 - Ministério da Educação"/>
    <x v="104"/>
    <s v="9.328.286,99"/>
    <n v="55993469.07"/>
    <n v="68043946.799999997"/>
    <n v="84684.09"/>
    <s v=""/>
  </r>
  <r>
    <x v="8"/>
    <s v="26000 - Ministério da Educação"/>
    <x v="104"/>
    <s v="621.163.820,99"/>
    <n v="48718770.009999998"/>
    <n v="8489933.7400000002"/>
    <n v="55380803.090000004"/>
    <s v=""/>
  </r>
  <r>
    <x v="10"/>
    <s v="26000 - Ministério da Educação"/>
    <x v="104"/>
    <s v="14.816.148,01"/>
    <n v="71863643"/>
    <n v="56236809.850000001"/>
    <n v="93506.8"/>
    <s v=""/>
  </r>
  <r>
    <x v="5"/>
    <s v="26000 - Ministério da Educação"/>
    <x v="104"/>
    <s v="- 250.754,11"/>
    <n v="57461336.170000002"/>
    <n v="66385798.439999998"/>
    <n v="348747.42"/>
    <s v=""/>
  </r>
  <r>
    <x v="11"/>
    <s v="26000 - Ministério da Educação"/>
    <x v="104"/>
    <s v="10.624.832,82"/>
    <n v="57002777.68"/>
    <n v="54850393.670000002"/>
    <n v="1104912.74"/>
    <s v=""/>
  </r>
  <r>
    <x v="1"/>
    <s v="26000 - Ministério da Educação"/>
    <x v="104"/>
    <s v="7.600.816,48"/>
    <n v="55555651.159999996"/>
    <n v="60057949.210000001"/>
    <n v="83888.55"/>
    <s v=""/>
  </r>
  <r>
    <x v="7"/>
    <s v="26000 - Ministério da Educação"/>
    <x v="104"/>
    <s v="9.277.463,99"/>
    <n v="58248387.289999999"/>
    <n v="56963632.109999999"/>
    <n v="100339.21"/>
    <s v=""/>
  </r>
  <r>
    <x v="0"/>
    <s v="26000 - Ministério da Educação"/>
    <x v="104"/>
    <s v="13.259.416,94"/>
    <n v="51918616.159999996"/>
    <n v="49358501.25"/>
    <n v="912569.78"/>
    <s v=""/>
  </r>
  <r>
    <x v="4"/>
    <s v="26000 - Ministério da Educação"/>
    <x v="104"/>
    <s v="- 2.639.481,58"/>
    <n v="81499828.609999999"/>
    <n v="64143274.390000001"/>
    <n v="15012.75"/>
    <s v=""/>
  </r>
  <r>
    <x v="9"/>
    <s v="26000 - Ministério da Educação"/>
    <x v="104"/>
    <s v="10.823.313,39"/>
    <n v="58072770.770000003"/>
    <n v="52933652.619999997"/>
    <n v="11197761.039999999"/>
    <s v=""/>
  </r>
  <r>
    <x v="6"/>
    <s v="26000 - Ministério da Educação"/>
    <x v="104"/>
    <s v="901.923,03"/>
    <n v="48290656.409999996"/>
    <n v="50008872.780000001"/>
    <n v="2123066.41"/>
    <s v=""/>
  </r>
  <r>
    <x v="10"/>
    <s v="26000 - Ministério da Educação"/>
    <x v="105"/>
    <s v="17.135.162,49"/>
    <n v="227102455.91"/>
    <n v="160708643.16999999"/>
    <n v="1820227.55"/>
    <s v=""/>
  </r>
  <r>
    <x v="0"/>
    <s v="26000 - Ministério da Educação"/>
    <x v="105"/>
    <s v="75.332.376,94"/>
    <n v="156008209.21000001"/>
    <n v="155851559.53999999"/>
    <n v="7514132.2699999996"/>
    <s v=""/>
  </r>
  <r>
    <x v="8"/>
    <s v="26000 - Ministério da Educação"/>
    <x v="105"/>
    <s v="1.875.912.253,72"/>
    <n v="147422510.56"/>
    <n v="24182805.41"/>
    <n v="183032124.87"/>
    <s v=""/>
  </r>
  <r>
    <x v="4"/>
    <s v="26000 - Ministério da Educação"/>
    <x v="105"/>
    <s v="22.961.204,98"/>
    <n v="238436674.00999999"/>
    <n v="211194299.93000001"/>
    <n v="785207.61"/>
    <s v=""/>
  </r>
  <r>
    <x v="9"/>
    <s v="26000 - Ministério da Educação"/>
    <x v="105"/>
    <s v="21.060.857,20"/>
    <n v="146383654.62"/>
    <n v="132790048.43000001"/>
    <n v="33519608.41"/>
    <s v=""/>
  </r>
  <r>
    <x v="6"/>
    <s v="26000 - Ministério da Educação"/>
    <x v="105"/>
    <s v="9.490.781,31"/>
    <n v="158511850.78"/>
    <n v="152730274.72"/>
    <n v="8827933.4399999995"/>
    <s v=""/>
  </r>
  <r>
    <x v="3"/>
    <s v="26000 - Ministério da Educação"/>
    <x v="105"/>
    <s v="28.400.748,65"/>
    <n v="168923059.80000001"/>
    <n v="229436294.78999999"/>
    <n v="2525119.8199999998"/>
    <s v=""/>
  </r>
  <r>
    <x v="5"/>
    <s v="26000 - Ministério da Educação"/>
    <x v="105"/>
    <s v="21.718.574,27"/>
    <n v="190794794.99000001"/>
    <n v="212016505.52000001"/>
    <n v="409056.88"/>
    <s v=""/>
  </r>
  <r>
    <x v="11"/>
    <s v="26000 - Ministério da Educação"/>
    <x v="105"/>
    <s v="41.558.089,01"/>
    <n v="165652072.50999999"/>
    <n v="159268139.72"/>
    <n v="3460707.5"/>
    <s v=""/>
  </r>
  <r>
    <x v="2"/>
    <s v="26000 - Ministério da Educação"/>
    <x v="105"/>
    <s v="35.425.075,42"/>
    <n v="167272884.94"/>
    <n v="168681501.90000001"/>
    <n v="1123374.1000000001"/>
    <s v=""/>
  </r>
  <r>
    <x v="7"/>
    <s v="26000 - Ministério da Educação"/>
    <x v="105"/>
    <s v="32.216.081,26"/>
    <n v="189065885.81999999"/>
    <n v="169441879.81999999"/>
    <n v="5781311.29"/>
    <s v=""/>
  </r>
  <r>
    <x v="1"/>
    <s v="26000 - Ministério da Educação"/>
    <x v="105"/>
    <s v="17.224.965,85"/>
    <n v="171270221.08000001"/>
    <n v="165992929.28999999"/>
    <n v="1064225.52"/>
    <s v=""/>
  </r>
  <r>
    <x v="7"/>
    <s v="26000 - Ministério da Educação"/>
    <x v="106"/>
    <s v="18.868.298,16"/>
    <n v="172187591.25999999"/>
    <n v="173781390.99000001"/>
    <n v="680062.21"/>
    <s v=""/>
  </r>
  <r>
    <x v="9"/>
    <s v="26000 - Ministério da Educação"/>
    <x v="106"/>
    <s v="16.144.062,31"/>
    <n v="166706551.5"/>
    <n v="149236485.13999999"/>
    <n v="30328168.02"/>
    <s v=""/>
  </r>
  <r>
    <x v="6"/>
    <s v="26000 - Ministério da Educação"/>
    <x v="106"/>
    <s v="19.213.169,03"/>
    <n v="172540416.34"/>
    <n v="167399087.34"/>
    <n v="8605139.5"/>
    <s v=""/>
  </r>
  <r>
    <x v="2"/>
    <s v="26000 - Ministério da Educação"/>
    <x v="106"/>
    <s v="67.450.381,44"/>
    <n v="179537439.34999999"/>
    <n v="181827074.88"/>
    <n v="214828.17"/>
    <s v=""/>
  </r>
  <r>
    <x v="10"/>
    <s v="26000 - Ministério da Educação"/>
    <x v="106"/>
    <s v="5.462.649,62"/>
    <n v="377182602.45999998"/>
    <n v="229857060.22999999"/>
    <n v="18905710.609999999"/>
    <s v=""/>
  </r>
  <r>
    <x v="5"/>
    <s v="26000 - Ministério da Educação"/>
    <x v="106"/>
    <s v="16.471.741,97"/>
    <n v="225068845.28"/>
    <n v="333856663.19"/>
    <n v="467910.54"/>
    <s v=""/>
  </r>
  <r>
    <x v="11"/>
    <s v="26000 - Ministério da Educação"/>
    <x v="106"/>
    <s v="193.430.327,95"/>
    <n v="196836708.30000001"/>
    <n v="175613157.06"/>
    <n v="1735710.71"/>
    <s v=""/>
  </r>
  <r>
    <x v="1"/>
    <s v="26000 - Ministério da Educação"/>
    <x v="106"/>
    <s v="- 22.881.769,26"/>
    <n v="177230261.65000001"/>
    <n v="179096245.44"/>
    <n v="675643.14"/>
    <s v=""/>
  </r>
  <r>
    <x v="3"/>
    <s v="26000 - Ministério da Educação"/>
    <x v="106"/>
    <s v="21.223.515,57"/>
    <n v="179349347.77000001"/>
    <n v="225516817.06999999"/>
    <n v="495850.23999999999"/>
    <s v=""/>
  </r>
  <r>
    <x v="0"/>
    <s v="26000 - Ministério da Educação"/>
    <x v="106"/>
    <s v="111.457.611,01"/>
    <n v="168534653.22"/>
    <n v="168161741.66999999"/>
    <n v="6551850.2300000004"/>
    <s v=""/>
  </r>
  <r>
    <x v="8"/>
    <s v="26000 - Ministério da Educação"/>
    <x v="106"/>
    <s v="2.012.057.531,50"/>
    <n v="164284635.25"/>
    <n v="27629055.870000001"/>
    <n v="177533679.19999999"/>
    <s v=""/>
  </r>
  <r>
    <x v="4"/>
    <s v="26000 - Ministério da Educação"/>
    <x v="106"/>
    <s v="10.976.080,43"/>
    <n v="255224108.58000001"/>
    <n v="206369024.94"/>
    <n v="565572.52"/>
    <s v=""/>
  </r>
  <r>
    <x v="8"/>
    <s v="26000 - Ministério da Educação"/>
    <x v="107"/>
    <s v="125.850.248,78"/>
    <n v="9030864.0500000007"/>
    <n v="1738485.36"/>
    <n v="10365523.58"/>
    <s v=""/>
  </r>
  <r>
    <x v="3"/>
    <s v="26000 - Ministério da Educação"/>
    <x v="107"/>
    <s v="2.290.565,05"/>
    <n v="11682943.529999999"/>
    <n v="14664191.619999999"/>
    <n v="1294082.24"/>
    <s v=""/>
  </r>
  <r>
    <x v="5"/>
    <s v="26000 - Ministério da Educação"/>
    <x v="107"/>
    <s v="11.981.746,18"/>
    <n v="24238820.219999999"/>
    <n v="24449954.91"/>
    <n v="74820.66"/>
    <s v=""/>
  </r>
  <r>
    <x v="6"/>
    <s v="26000 - Ministério da Educação"/>
    <x v="107"/>
    <s v="1.278.680,49"/>
    <n v="10264308.539999999"/>
    <n v="10103284.07"/>
    <n v="1754245.18"/>
    <s v=""/>
  </r>
  <r>
    <x v="7"/>
    <s v="26000 - Ministério da Educação"/>
    <x v="107"/>
    <s v="3.001.556,61"/>
    <n v="14060779.92"/>
    <n v="11368877.689999999"/>
    <n v="1787294.03"/>
    <s v=""/>
  </r>
  <r>
    <x v="11"/>
    <s v="26000 - Ministério da Educação"/>
    <x v="107"/>
    <s v="1.949.522,88"/>
    <n v="11506139.039999999"/>
    <n v="9484635.7699999996"/>
    <n v="682353.07"/>
    <s v=""/>
  </r>
  <r>
    <x v="10"/>
    <s v="26000 - Ministério da Educação"/>
    <x v="107"/>
    <s v="- 957.432,65"/>
    <n v="13768450.619999999"/>
    <n v="11075358.039999999"/>
    <n v="1051172.43"/>
    <s v=""/>
  </r>
  <r>
    <x v="9"/>
    <s v="26000 - Ministério da Educação"/>
    <x v="107"/>
    <s v="2.172.602,19"/>
    <n v="9666595.5199999996"/>
    <n v="8615814.4900000002"/>
    <n v="2402242.75"/>
    <s v=""/>
  </r>
  <r>
    <x v="4"/>
    <s v="26000 - Ministério da Educação"/>
    <x v="107"/>
    <s v="3.613.360,62"/>
    <n v="19385342.5"/>
    <n v="15332406.470000001"/>
    <n v="120750.21"/>
    <s v=""/>
  </r>
  <r>
    <x v="2"/>
    <s v="26000 - Ministério da Educação"/>
    <x v="107"/>
    <s v="1.658.176,68"/>
    <n v="12880312.77"/>
    <n v="13537367.039999999"/>
    <n v="476119.91"/>
    <s v=""/>
  </r>
  <r>
    <x v="0"/>
    <s v="26000 - Ministério da Educação"/>
    <x v="107"/>
    <s v="939.006,26"/>
    <n v="9811885.2699999996"/>
    <n v="11129209.050000001"/>
    <n v="1504371.27"/>
    <s v=""/>
  </r>
  <r>
    <x v="1"/>
    <s v="26000 - Ministério da Educação"/>
    <x v="107"/>
    <s v="7.609.659,80"/>
    <n v="10170641.4"/>
    <n v="10391425.710000001"/>
    <n v="1285328.7"/>
    <s v=""/>
  </r>
  <r>
    <x v="9"/>
    <s v="26000 - Ministério da Educação"/>
    <x v="108"/>
    <s v="3.912.137,82"/>
    <n v="13949754.359999999"/>
    <n v="11981481.609999999"/>
    <n v="1967208.05"/>
    <s v=""/>
  </r>
  <r>
    <x v="7"/>
    <s v="26000 - Ministério da Educação"/>
    <x v="108"/>
    <s v="1.025.552,77"/>
    <n v="12244372.68"/>
    <n v="12596254.74"/>
    <n v="342186.28"/>
    <s v=""/>
  </r>
  <r>
    <x v="5"/>
    <s v="26000 - Ministério da Educação"/>
    <x v="108"/>
    <s v="8.886.075,97"/>
    <n v="16046647.109999999"/>
    <n v="16745841.83"/>
    <n v="749577.55"/>
    <s v=""/>
  </r>
  <r>
    <x v="4"/>
    <s v="26000 - Ministério da Educação"/>
    <x v="108"/>
    <s v="- 1.299.252,13"/>
    <n v="19140708.210000001"/>
    <n v="15035906.220000001"/>
    <n v="442264.74"/>
    <s v=""/>
  </r>
  <r>
    <x v="1"/>
    <s v="26000 - Ministério da Educação"/>
    <x v="108"/>
    <s v="14.986,26"/>
    <n v="14104829.43"/>
    <n v="13805563.77"/>
    <n v="594658.56999999995"/>
    <s v=""/>
  </r>
  <r>
    <x v="8"/>
    <s v="26000 - Ministério da Educação"/>
    <x v="108"/>
    <s v="149.299.421,54"/>
    <n v="13605398"/>
    <n v="2905426.7"/>
    <n v="12764244.41"/>
    <s v=""/>
  </r>
  <r>
    <x v="11"/>
    <s v="26000 - Ministério da Educação"/>
    <x v="108"/>
    <s v="3.492.894,51"/>
    <n v="14243617.560000001"/>
    <n v="13117517.460000001"/>
    <n v="1881596.79"/>
    <s v=""/>
  </r>
  <r>
    <x v="6"/>
    <s v="26000 - Ministério da Educação"/>
    <x v="108"/>
    <s v="588.242,29"/>
    <n v="13751874.789999999"/>
    <n v="14717548.949999999"/>
    <n v="1820866.89"/>
    <s v=""/>
  </r>
  <r>
    <x v="2"/>
    <s v="26000 - Ministério da Educação"/>
    <x v="108"/>
    <s v="2.474.046,83"/>
    <n v="12530077.02"/>
    <n v="12158274.4"/>
    <n v="372955.89"/>
    <s v=""/>
  </r>
  <r>
    <x v="10"/>
    <s v="26000 - Ministério da Educação"/>
    <x v="108"/>
    <s v="4.169.121,09"/>
    <n v="16506282.689999999"/>
    <n v="13841349.300000001"/>
    <n v="2719671.2"/>
    <s v=""/>
  </r>
  <r>
    <x v="0"/>
    <s v="26000 - Ministério da Educação"/>
    <x v="108"/>
    <s v="2.999.946,84"/>
    <n v="11605457.539999999"/>
    <n v="12530472.439999999"/>
    <n v="690802.6"/>
    <s v=""/>
  </r>
  <r>
    <x v="3"/>
    <s v="26000 - Ministério da Educação"/>
    <x v="108"/>
    <s v="6.831.638,65"/>
    <n v="13873360.08"/>
    <n v="17145870.460000001"/>
    <n v="717548.53"/>
    <s v=""/>
  </r>
  <r>
    <x v="9"/>
    <s v="26000 - Ministério da Educação"/>
    <x v="109"/>
    <s v="2.120.759,46"/>
    <n v="45019201"/>
    <n v="39565261.850000001"/>
    <n v="13387048.539999999"/>
    <s v=""/>
  </r>
  <r>
    <x v="1"/>
    <s v="26000 - Ministério da Educação"/>
    <x v="109"/>
    <s v="3.338.958,81"/>
    <n v="47825645.390000001"/>
    <n v="47886699.299999997"/>
    <n v="1488926.11"/>
    <s v=""/>
  </r>
  <r>
    <x v="7"/>
    <s v="26000 - Ministério da Educação"/>
    <x v="109"/>
    <s v="1.021.557,88"/>
    <n v="48671791.119999997"/>
    <n v="48291509.219999999"/>
    <n v="346706.12"/>
    <s v=""/>
  </r>
  <r>
    <x v="0"/>
    <s v="26000 - Ministério da Educação"/>
    <x v="109"/>
    <s v="10.114.136,52"/>
    <n v="45771425.479999997"/>
    <n v="45810583.140000001"/>
    <n v="1955797.88"/>
    <s v=""/>
  </r>
  <r>
    <x v="8"/>
    <s v="26000 - Ministério da Educação"/>
    <x v="109"/>
    <s v="557.014.253,18"/>
    <n v="44678766.119999997"/>
    <n v="7831877.1399999997"/>
    <n v="47666263.630000003"/>
    <s v=""/>
  </r>
  <r>
    <x v="5"/>
    <s v="26000 - Ministério da Educação"/>
    <x v="109"/>
    <s v="7.472.204,13"/>
    <n v="54284131.789999999"/>
    <n v="59868598.200000003"/>
    <n v="230805.54"/>
    <s v=""/>
  </r>
  <r>
    <x v="2"/>
    <s v="26000 - Ministério da Educação"/>
    <x v="109"/>
    <s v="8.475.045,96"/>
    <n v="48733485.630000003"/>
    <n v="48641207.630000003"/>
    <n v="322219.53000000003"/>
    <s v=""/>
  </r>
  <r>
    <x v="6"/>
    <s v="26000 - Ministério da Educação"/>
    <x v="109"/>
    <s v="7.478.156,37"/>
    <n v="44799819.859999999"/>
    <n v="45045104.719999999"/>
    <n v="3729758.23"/>
    <s v=""/>
  </r>
  <r>
    <x v="3"/>
    <s v="26000 - Ministério da Educação"/>
    <x v="109"/>
    <s v="8.061.377,42"/>
    <n v="48100998.399999999"/>
    <n v="62764440.630000003"/>
    <n v="1069322.1200000001"/>
    <s v=""/>
  </r>
  <r>
    <x v="10"/>
    <s v="26000 - Ministério da Educação"/>
    <x v="109"/>
    <s v="14.087.780,91"/>
    <n v="63166934.799999997"/>
    <n v="50246518.030000001"/>
    <n v="1587057.01"/>
    <s v=""/>
  </r>
  <r>
    <x v="11"/>
    <s v="26000 - Ministério da Educação"/>
    <x v="109"/>
    <s v="15.755.336,23"/>
    <n v="50474289.25"/>
    <n v="47327239.700000003"/>
    <n v="939419.01"/>
    <s v=""/>
  </r>
  <r>
    <x v="4"/>
    <s v="26000 - Ministério da Educação"/>
    <x v="109"/>
    <s v="- 2.510.064,09"/>
    <n v="71016779.959999993"/>
    <n v="56320873.030000001"/>
    <n v="69170.48"/>
    <s v=""/>
  </r>
  <r>
    <x v="10"/>
    <s v="26000 - Ministério da Educação"/>
    <x v="110"/>
    <s v="16.460.058,39"/>
    <n v="33616499.609999999"/>
    <n v="29579428.609999999"/>
    <n v="944503.11"/>
    <s v=""/>
  </r>
  <r>
    <x v="9"/>
    <s v="26000 - Ministério da Educação"/>
    <x v="110"/>
    <s v="4.212.373,71"/>
    <n v="24371316.809999999"/>
    <n v="22286181.710000001"/>
    <n v="9713861.1699999999"/>
    <s v=""/>
  </r>
  <r>
    <x v="4"/>
    <s v="26000 - Ministério da Educação"/>
    <x v="110"/>
    <s v="- 2.129.757,57"/>
    <n v="43103491.700000003"/>
    <n v="34262213.159999996"/>
    <n v="204334.64"/>
    <s v=""/>
  </r>
  <r>
    <x v="0"/>
    <s v="26000 - Ministério da Educação"/>
    <x v="110"/>
    <s v="21.769.125,21"/>
    <n v="26282689.27"/>
    <n v="26776877.579999998"/>
    <n v="1547522.84"/>
    <s v=""/>
  </r>
  <r>
    <x v="11"/>
    <s v="26000 - Ministério da Educação"/>
    <x v="110"/>
    <s v="3.408.739,06"/>
    <n v="29662917.210000001"/>
    <n v="27318870.300000001"/>
    <n v="1366799.12"/>
    <s v=""/>
  </r>
  <r>
    <x v="8"/>
    <s v="26000 - Ministério da Educação"/>
    <x v="110"/>
    <s v="310.256.025,14"/>
    <n v="24969154.41"/>
    <n v="5241944.0999999996"/>
    <n v="29988630.420000002"/>
    <s v=""/>
  </r>
  <r>
    <x v="2"/>
    <s v="26000 - Ministério da Educação"/>
    <x v="110"/>
    <s v="5.599.222,81"/>
    <n v="29538597.539999999"/>
    <n v="30484272.219999999"/>
    <n v="363383.9"/>
    <s v=""/>
  </r>
  <r>
    <x v="5"/>
    <s v="26000 - Ministério da Educação"/>
    <x v="110"/>
    <s v="7.632.516,93"/>
    <n v="37722756.909999996"/>
    <n v="36899068.590000004"/>
    <n v="214321.77"/>
    <s v=""/>
  </r>
  <r>
    <x v="1"/>
    <s v="26000 - Ministério da Educação"/>
    <x v="110"/>
    <s v="2.260.817,68"/>
    <n v="27634302.34"/>
    <n v="28446106.859999999"/>
    <n v="481953.5"/>
    <s v=""/>
  </r>
  <r>
    <x v="3"/>
    <s v="26000 - Ministério da Educação"/>
    <x v="110"/>
    <s v="1.701.409,91"/>
    <n v="29141686.920000002"/>
    <n v="34035429.340000004"/>
    <n v="1458475.64"/>
    <s v=""/>
  </r>
  <r>
    <x v="6"/>
    <s v="26000 - Ministério da Educação"/>
    <x v="110"/>
    <s v="6.614.636,47"/>
    <n v="26728436.969999999"/>
    <n v="25526715.91"/>
    <n v="2305852.71"/>
    <s v=""/>
  </r>
  <r>
    <x v="7"/>
    <s v="26000 - Ministério da Educação"/>
    <x v="110"/>
    <s v="866.363,52"/>
    <n v="30121685.43"/>
    <n v="28829239.609999999"/>
    <n v="557166.97"/>
    <s v=""/>
  </r>
  <r>
    <x v="10"/>
    <s v="26000 - Ministério da Educação"/>
    <x v="111"/>
    <s v="283.487.027,63"/>
    <n v="277609656.38"/>
    <n v="225567776.59999999"/>
    <n v="2537433.1800000002"/>
    <s v=""/>
  </r>
  <r>
    <x v="9"/>
    <s v="26000 - Ministério da Educação"/>
    <x v="111"/>
    <s v="201.314.727,82"/>
    <n v="190170451.91"/>
    <n v="194596531.50999999"/>
    <n v="29099431.600000001"/>
    <s v=""/>
  </r>
  <r>
    <x v="8"/>
    <s v="26000 - Ministério da Educação"/>
    <x v="111"/>
    <s v="220.909.964,63"/>
    <n v="209279326.19"/>
    <n v="52524532.219999999"/>
    <n v="184498940.84999999"/>
    <s v=""/>
  </r>
  <r>
    <x v="11"/>
    <s v="26000 - Ministério da Educação"/>
    <x v="111"/>
    <s v="249.024.318,63"/>
    <n v="233842648.87"/>
    <n v="214404999.63999999"/>
    <n v="15879030.039999999"/>
    <s v=""/>
  </r>
  <r>
    <x v="7"/>
    <s v="26000 - Ministério da Educação"/>
    <x v="111"/>
    <s v="208.079.056,68"/>
    <n v="206852939.50999999"/>
    <n v="204948383.53999999"/>
    <n v="847660.34"/>
    <s v=""/>
  </r>
  <r>
    <x v="1"/>
    <s v="26000 - Ministério da Educação"/>
    <x v="111"/>
    <s v="188.755.173,00"/>
    <n v="213321350.34999999"/>
    <n v="213414080.84999999"/>
    <n v="1969320.4"/>
    <s v=""/>
  </r>
  <r>
    <x v="5"/>
    <s v="26000 - Ministério da Educação"/>
    <x v="111"/>
    <s v="176.393.362,94"/>
    <n v="246795917.13999999"/>
    <n v="270188145.86000001"/>
    <n v="4337701.46"/>
    <s v=""/>
  </r>
  <r>
    <x v="6"/>
    <s v="26000 - Ministério da Educação"/>
    <x v="111"/>
    <s v="192.025.121,14"/>
    <n v="198814587.59"/>
    <n v="196572258.99000001"/>
    <n v="8238009.5300000003"/>
    <s v=""/>
  </r>
  <r>
    <x v="0"/>
    <s v="26000 - Ministério da Educação"/>
    <x v="111"/>
    <s v="216.887.663,47"/>
    <n v="208467512.56999999"/>
    <n v="195039180.38"/>
    <n v="4840472.0599999996"/>
    <s v=""/>
  </r>
  <r>
    <x v="2"/>
    <s v="26000 - Ministério da Educação"/>
    <x v="111"/>
    <s v="202.412.273,39"/>
    <n v="216085733.62"/>
    <n v="213675025.06"/>
    <n v="849256.8"/>
    <s v=""/>
  </r>
  <r>
    <x v="3"/>
    <s v="26000 - Ministério da Educação"/>
    <x v="111"/>
    <s v="237.875.535,17"/>
    <n v="206134273.88"/>
    <n v="282402984.31"/>
    <n v="3435130.36"/>
    <s v=""/>
  </r>
  <r>
    <x v="4"/>
    <s v="26000 - Ministério da Educação"/>
    <x v="111"/>
    <s v="380.290.109,17"/>
    <n v="305707236.14999998"/>
    <n v="238466822.69999999"/>
    <n v="649450.54"/>
    <s v=""/>
  </r>
  <r>
    <x v="5"/>
    <s v="26000 - Ministério da Educação"/>
    <x v="112"/>
    <s v="12.050.364,53"/>
    <n v="30271827.489999998"/>
    <n v="33837099.049999997"/>
    <n v="893345.07"/>
    <s v=""/>
  </r>
  <r>
    <x v="4"/>
    <s v="26000 - Ministério da Educação"/>
    <x v="112"/>
    <s v="1.421.824,22"/>
    <n v="37203754.899999999"/>
    <n v="27930616.989999998"/>
    <n v="1510182.99"/>
    <s v=""/>
  </r>
  <r>
    <x v="8"/>
    <s v="26000 - Ministério da Educação"/>
    <x v="112"/>
    <s v="267.923.969,77"/>
    <n v="20566785.890000001"/>
    <n v="3840295.97"/>
    <n v="24004820.289999999"/>
    <s v=""/>
  </r>
  <r>
    <x v="10"/>
    <s v="26000 - Ministério da Educação"/>
    <x v="112"/>
    <s v="- 565.517,48"/>
    <n v="31298621.050000001"/>
    <n v="25109996.469999999"/>
    <n v="599859.16"/>
    <s v=""/>
  </r>
  <r>
    <x v="11"/>
    <s v="26000 - Ministério da Educação"/>
    <x v="112"/>
    <s v="10.047.781,42"/>
    <n v="24735421.219999999"/>
    <n v="25163387.120000001"/>
    <n v="396738.07"/>
    <s v=""/>
  </r>
  <r>
    <x v="2"/>
    <s v="26000 - Ministério da Educação"/>
    <x v="112"/>
    <s v="- 3.100.798,36"/>
    <n v="24429144.699999999"/>
    <n v="24690445.370000001"/>
    <n v="264867.90000000002"/>
    <s v=""/>
  </r>
  <r>
    <x v="9"/>
    <s v="26000 - Ministério da Educação"/>
    <x v="112"/>
    <s v="2.958.971,57"/>
    <n v="20947370.370000001"/>
    <n v="18450236.359999999"/>
    <n v="6337241.5999999996"/>
    <s v=""/>
  </r>
  <r>
    <x v="7"/>
    <s v="26000 - Ministério da Educação"/>
    <x v="112"/>
    <s v="- 793.252,03"/>
    <n v="24632836.030000001"/>
    <n v="24836203.890000001"/>
    <n v="278019.58"/>
    <s v=""/>
  </r>
  <r>
    <x v="3"/>
    <s v="26000 - Ministério da Educação"/>
    <x v="112"/>
    <s v="20.255.656,75"/>
    <n v="23929484.780000001"/>
    <n v="30926303.09"/>
    <n v="253907.16"/>
    <s v=""/>
  </r>
  <r>
    <x v="0"/>
    <s v="26000 - Ministério da Educação"/>
    <x v="112"/>
    <s v="20.764.655,25"/>
    <n v="24485394.5"/>
    <n v="23257908.670000002"/>
    <n v="1959988.76"/>
    <s v=""/>
  </r>
  <r>
    <x v="1"/>
    <s v="26000 - Ministério da Educação"/>
    <x v="112"/>
    <s v="1.517.793,12"/>
    <n v="24795450.800000001"/>
    <n v="24113380.390000001"/>
    <n v="348533.5"/>
    <s v=""/>
  </r>
  <r>
    <x v="6"/>
    <s v="26000 - Ministério da Educação"/>
    <x v="112"/>
    <s v="- 741.877,22"/>
    <n v="23056709.829999998"/>
    <n v="22124911"/>
    <n v="893741.8"/>
    <s v=""/>
  </r>
  <r>
    <x v="2"/>
    <s v="26000 - Ministério da Educação"/>
    <x v="113"/>
    <s v="46.125.393,56"/>
    <n v="59118205.590000004"/>
    <n v="59553712.020000003"/>
    <n v="2368954.09"/>
    <s v=""/>
  </r>
  <r>
    <x v="9"/>
    <s v="26000 - Ministério da Educação"/>
    <x v="113"/>
    <s v="93.092.487,98"/>
    <n v="53434486.509999998"/>
    <n v="46125737"/>
    <n v="14825838.26"/>
    <s v=""/>
  </r>
  <r>
    <x v="7"/>
    <s v="26000 - Ministério da Educação"/>
    <x v="113"/>
    <s v="115.209.301,35"/>
    <n v="66025017.100000001"/>
    <n v="64227830.899999999"/>
    <n v="3361366.82"/>
    <s v=""/>
  </r>
  <r>
    <x v="1"/>
    <s v="26000 - Ministério da Educação"/>
    <x v="113"/>
    <s v="30.741.832,64"/>
    <n v="60978296.560000002"/>
    <n v="62560200.789999999"/>
    <n v="9320742.5399999991"/>
    <s v=""/>
  </r>
  <r>
    <x v="8"/>
    <s v="26000 - Ministério da Educação"/>
    <x v="113"/>
    <s v="58.785.747,81"/>
    <n v="51394488.850000001"/>
    <n v="10313355.960000001"/>
    <n v="62523325.719999999"/>
    <s v=""/>
  </r>
  <r>
    <x v="3"/>
    <s v="26000 - Ministério da Educação"/>
    <x v="113"/>
    <s v="35.828.977,59"/>
    <n v="57578480.990000002"/>
    <n v="69825430.359999999"/>
    <n v="898718.78"/>
    <s v=""/>
  </r>
  <r>
    <x v="6"/>
    <s v="26000 - Ministério da Educação"/>
    <x v="113"/>
    <s v="55.936.516,20"/>
    <n v="55713000.170000002"/>
    <n v="55021464.770000003"/>
    <n v="5176068.57"/>
    <s v=""/>
  </r>
  <r>
    <x v="10"/>
    <s v="26000 - Ministério da Educação"/>
    <x v="113"/>
    <s v="87.227.159,63"/>
    <n v="73870967.829999998"/>
    <n v="60697708.329999998"/>
    <n v="1125101.08"/>
    <s v=""/>
  </r>
  <r>
    <x v="4"/>
    <s v="26000 - Ministério da Educação"/>
    <x v="113"/>
    <s v="56.460.259,83"/>
    <n v="90965199.5"/>
    <n v="69913719.120000005"/>
    <n v="212408.81"/>
    <s v=""/>
  </r>
  <r>
    <x v="5"/>
    <s v="26000 - Ministério da Educação"/>
    <x v="113"/>
    <s v="33.226.371,14"/>
    <n v="74505373.719999999"/>
    <n v="75951410.219999999"/>
    <n v="2825039.63"/>
    <s v=""/>
  </r>
  <r>
    <x v="11"/>
    <s v="26000 - Ministério da Educação"/>
    <x v="113"/>
    <s v="128.350.118,24"/>
    <n v="58631440.409999996"/>
    <n v="56765346.75"/>
    <n v="1441143.5"/>
    <s v=""/>
  </r>
  <r>
    <x v="0"/>
    <s v="26000 - Ministério da Educação"/>
    <x v="113"/>
    <s v="43.102.186,54"/>
    <n v="57817534.390000001"/>
    <n v="56978867.799999997"/>
    <n v="4214437.83"/>
    <s v=""/>
  </r>
  <r>
    <x v="6"/>
    <s v="26000 - Ministério da Educação"/>
    <x v="114"/>
    <s v="4.119.422,41"/>
    <n v="57011835.530000001"/>
    <n v="58664274.119999997"/>
    <n v="3189460.21"/>
    <s v=""/>
  </r>
  <r>
    <x v="10"/>
    <s v="26000 - Ministério da Educação"/>
    <x v="114"/>
    <s v="3.755.560,82"/>
    <n v="81493255.180000007"/>
    <n v="67259572.269999996"/>
    <n v="1538163.94"/>
    <s v=""/>
  </r>
  <r>
    <x v="11"/>
    <s v="26000 - Ministério da Educação"/>
    <x v="114"/>
    <s v="20.079.163,03"/>
    <n v="67024562.950000003"/>
    <n v="65359322.670000002"/>
    <n v="5511371.1799999997"/>
    <s v=""/>
  </r>
  <r>
    <x v="9"/>
    <s v="26000 - Ministério da Educação"/>
    <x v="114"/>
    <s v="4.197.375,32"/>
    <n v="61140446.659999996"/>
    <n v="60663685.850000001"/>
    <n v="1955615.37"/>
    <s v=""/>
  </r>
  <r>
    <x v="0"/>
    <s v="26000 - Ministério da Educação"/>
    <x v="114"/>
    <s v="32.888.376,43"/>
    <n v="65753034.909999996"/>
    <n v="59952952.140000001"/>
    <n v="1788089.46"/>
    <s v=""/>
  </r>
  <r>
    <x v="1"/>
    <s v="26000 - Ministério da Educação"/>
    <x v="114"/>
    <s v="2.942.840,54"/>
    <n v="64565370.189999998"/>
    <n v="62436596.159999996"/>
    <n v="962676.39"/>
    <s v=""/>
  </r>
  <r>
    <x v="4"/>
    <s v="26000 - Ministério da Educação"/>
    <x v="114"/>
    <s v="5.365.563,40"/>
    <n v="91375666.340000004"/>
    <n v="74771442.319999993"/>
    <n v="4152757.36"/>
    <s v=""/>
  </r>
  <r>
    <x v="2"/>
    <s v="26000 - Ministério da Educação"/>
    <x v="114"/>
    <s v="5.309.692,19"/>
    <n v="63298762.710000001"/>
    <n v="64077359.579999998"/>
    <n v="203137.58"/>
    <s v=""/>
  </r>
  <r>
    <x v="5"/>
    <s v="26000 - Ministério da Educação"/>
    <x v="114"/>
    <s v="32.891.493,53"/>
    <n v="86528053.510000005"/>
    <n v="92211883.109999999"/>
    <n v="1173747.03"/>
    <s v=""/>
  </r>
  <r>
    <x v="7"/>
    <s v="26000 - Ministério da Educação"/>
    <x v="114"/>
    <s v="- 364.336,17"/>
    <n v="66054295.560000002"/>
    <n v="64666825.950000003"/>
    <n v="4600692.54"/>
    <s v=""/>
  </r>
  <r>
    <x v="8"/>
    <s v="26000 - Ministério da Educação"/>
    <x v="114"/>
    <s v="752.526.582,50"/>
    <n v="52206947.210000001"/>
    <n v="5277580.78"/>
    <n v="71607189.930000007"/>
    <s v=""/>
  </r>
  <r>
    <x v="3"/>
    <s v="26000 - Ministério da Educação"/>
    <x v="114"/>
    <s v="10.136.064,62"/>
    <n v="67316948.290000007"/>
    <n v="84907810.040000007"/>
    <n v="1034422.6"/>
    <s v=""/>
  </r>
  <r>
    <x v="2"/>
    <s v="26000 - Ministério da Educação"/>
    <x v="115"/>
    <s v="3.428.753,35"/>
    <n v="31556635.73"/>
    <n v="30799625.77"/>
    <n v="81372.399999999994"/>
    <s v=""/>
  </r>
  <r>
    <x v="9"/>
    <s v="26000 - Ministério da Educação"/>
    <x v="115"/>
    <s v="5.824.487,92"/>
    <n v="28803348.91"/>
    <n v="25432109.510000002"/>
    <n v="4949300.6500000004"/>
    <s v=""/>
  </r>
  <r>
    <x v="6"/>
    <s v="26000 - Ministério da Educação"/>
    <x v="115"/>
    <s v="4.299.430,50"/>
    <n v="28194550.800000001"/>
    <n v="28502852.190000001"/>
    <n v="822792.71"/>
    <s v=""/>
  </r>
  <r>
    <x v="4"/>
    <s v="26000 - Ministério da Educação"/>
    <x v="115"/>
    <s v="6.562.889,11"/>
    <n v="44178801.479999997"/>
    <n v="36621890.939999998"/>
    <n v="47376.23"/>
    <s v=""/>
  </r>
  <r>
    <x v="3"/>
    <s v="26000 - Ministério da Educação"/>
    <x v="115"/>
    <s v="12.326.257,20"/>
    <n v="29651492.609999999"/>
    <n v="35281102.060000002"/>
    <n v="106275.97"/>
    <s v=""/>
  </r>
  <r>
    <x v="1"/>
    <s v="26000 - Ministério da Educação"/>
    <x v="115"/>
    <s v="1.311.602,95"/>
    <n v="33332289.190000001"/>
    <n v="30044555.379999999"/>
    <n v="85087.15"/>
    <s v=""/>
  </r>
  <r>
    <x v="10"/>
    <s v="26000 - Ministério da Educação"/>
    <x v="115"/>
    <s v="9.623.721,98"/>
    <n v="36007889.149999999"/>
    <n v="31531030.530000001"/>
    <n v="227914.57"/>
    <s v=""/>
  </r>
  <r>
    <x v="5"/>
    <s v="26000 - Ministério da Educação"/>
    <x v="115"/>
    <s v="14.695.681,79"/>
    <n v="39231058.710000001"/>
    <n v="43986097.109999999"/>
    <n v="40076.269999999997"/>
    <s v=""/>
  </r>
  <r>
    <x v="11"/>
    <s v="26000 - Ministério da Educação"/>
    <x v="115"/>
    <s v="7.478.043,54"/>
    <n v="31837993.359999999"/>
    <n v="31797589.109999999"/>
    <n v="140057.82"/>
    <s v=""/>
  </r>
  <r>
    <x v="0"/>
    <s v="26000 - Ministério da Educação"/>
    <x v="115"/>
    <s v="26.325.508,19"/>
    <n v="32333542.949999999"/>
    <n v="29347674.280000001"/>
    <n v="344236.02"/>
    <s v=""/>
  </r>
  <r>
    <x v="8"/>
    <s v="26000 - Ministério da Educação"/>
    <x v="115"/>
    <s v="310.015.689,91"/>
    <n v="28600228.969999999"/>
    <n v="7160805.6100000003"/>
    <n v="30231084.690000001"/>
    <s v=""/>
  </r>
  <r>
    <x v="7"/>
    <s v="26000 - Ministério da Educação"/>
    <x v="115"/>
    <s v="550.401,63"/>
    <n v="31010857.02"/>
    <n v="31283539.739999998"/>
    <n v="57028.83"/>
    <s v=""/>
  </r>
  <r>
    <x v="6"/>
    <s v="26000 - Ministério da Educação"/>
    <x v="116"/>
    <s v="8.134.518,65"/>
    <n v="82569645.480000004"/>
    <n v="91169057.319999993"/>
    <n v="9277993.6300000008"/>
    <s v=""/>
  </r>
  <r>
    <x v="3"/>
    <s v="26000 - Ministério da Educação"/>
    <x v="116"/>
    <s v="26.532.469,82"/>
    <n v="92787931.209999993"/>
    <n v="119781066.25"/>
    <n v="4607063.09"/>
    <s v=""/>
  </r>
  <r>
    <x v="0"/>
    <s v="26000 - Ministério da Educação"/>
    <x v="116"/>
    <s v="15.056.723,20"/>
    <n v="85380932.25"/>
    <n v="83432178.329999998"/>
    <n v="11433486.34"/>
    <s v=""/>
  </r>
  <r>
    <x v="1"/>
    <s v="26000 - Ministério da Educação"/>
    <x v="116"/>
    <s v="26.721.297,02"/>
    <n v="94627375.280000001"/>
    <n v="92176254.849999994"/>
    <n v="2613100.94"/>
    <s v=""/>
  </r>
  <r>
    <x v="2"/>
    <s v="26000 - Ministério da Educação"/>
    <x v="116"/>
    <s v="101.976.792,71"/>
    <n v="96409091.579999998"/>
    <n v="80024499.159999996"/>
    <n v="4741611.1399999997"/>
    <s v=""/>
  </r>
  <r>
    <x v="11"/>
    <s v="26000 - Ministério da Educação"/>
    <x v="116"/>
    <s v="30.403.761,35"/>
    <n v="95737289.379999995"/>
    <n v="79327848.480000004"/>
    <n v="8903754.6099999994"/>
    <s v=""/>
  </r>
  <r>
    <x v="4"/>
    <s v="26000 - Ministério da Educação"/>
    <x v="116"/>
    <s v="111.601.295,42"/>
    <n v="143832240.71000001"/>
    <n v="129198864.42"/>
    <n v="1968068.91"/>
    <s v=""/>
  </r>
  <r>
    <x v="9"/>
    <s v="26000 - Ministério da Educação"/>
    <x v="116"/>
    <s v="3.082.980,99"/>
    <n v="79724067.909999996"/>
    <n v="81466598.319999993"/>
    <n v="10939025.25"/>
    <s v=""/>
  </r>
  <r>
    <x v="5"/>
    <s v="26000 - Ministério da Educação"/>
    <x v="116"/>
    <s v="109.615.004,46"/>
    <n v="129770168.23"/>
    <n v="133459675.04000001"/>
    <n v="3447674.03"/>
    <s v=""/>
  </r>
  <r>
    <x v="10"/>
    <s v="26000 - Ministério da Educação"/>
    <x v="116"/>
    <s v="38.864.857,94"/>
    <n v="116712480.03"/>
    <n v="93753354.840000004"/>
    <n v="5336307.38"/>
    <s v=""/>
  </r>
  <r>
    <x v="7"/>
    <s v="26000 - Ministério da Educação"/>
    <x v="116"/>
    <s v="81.942.379,86"/>
    <n v="95025508.659999996"/>
    <n v="94434010.209999993"/>
    <n v="3719026.57"/>
    <s v=""/>
  </r>
  <r>
    <x v="8"/>
    <s v="26000 - Ministério da Educação"/>
    <x v="116"/>
    <s v="724.519.879,57"/>
    <n v="81560005.870000005"/>
    <n v="17954693.800000001"/>
    <n v="101454995.55"/>
    <s v="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31FCCA1-A100-4FC5-82C3-7C6F77955B1E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1:B71" firstHeaderRow="1" firstDataRow="1" firstDataCol="1"/>
  <pivotFields count="10">
    <pivotField numFmtId="14" showAll="0">
      <items count="13">
        <item x="8"/>
        <item x="9"/>
        <item x="6"/>
        <item x="0"/>
        <item x="11"/>
        <item x="10"/>
        <item x="3"/>
        <item x="1"/>
        <item x="7"/>
        <item x="2"/>
        <item x="4"/>
        <item x="5"/>
        <item t="default"/>
      </items>
    </pivotField>
    <pivotField showAll="0"/>
    <pivotField axis="axisRow" showAll="0">
      <items count="118">
        <item x="67"/>
        <item x="2"/>
        <item x="25"/>
        <item x="73"/>
        <item x="69"/>
        <item x="93"/>
        <item x="95"/>
        <item x="77"/>
        <item x="111"/>
        <item x="80"/>
        <item x="82"/>
        <item x="101"/>
        <item x="72"/>
        <item x="100"/>
        <item x="84"/>
        <item x="105"/>
        <item x="106"/>
        <item x="103"/>
        <item x="87"/>
        <item x="88"/>
        <item x="113"/>
        <item x="114"/>
        <item x="86"/>
        <item x="24"/>
        <item x="75"/>
        <item x="112"/>
        <item x="109"/>
        <item x="110"/>
        <item x="0"/>
        <item x="1"/>
        <item x="116"/>
        <item x="74"/>
        <item x="78"/>
        <item x="89"/>
        <item x="81"/>
        <item x="115"/>
        <item x="22"/>
        <item x="71"/>
        <item x="12"/>
        <item x="96"/>
        <item x="7"/>
        <item x="6"/>
        <item x="8"/>
        <item x="104"/>
        <item x="16"/>
        <item x="18"/>
        <item x="20"/>
        <item x="83"/>
        <item x="11"/>
        <item x="23"/>
        <item x="14"/>
        <item x="13"/>
        <item x="90"/>
        <item x="21"/>
        <item x="10"/>
        <item x="15"/>
        <item x="19"/>
        <item x="66"/>
        <item x="4"/>
        <item x="5"/>
        <item x="27"/>
        <item x="26"/>
        <item x="9"/>
        <item x="102"/>
        <item x="17"/>
        <item x="32"/>
        <item x="44"/>
        <item x="28"/>
        <item x="45"/>
        <item x="46"/>
        <item x="63"/>
        <item x="47"/>
        <item x="35"/>
        <item x="50"/>
        <item x="57"/>
        <item x="58"/>
        <item x="60"/>
        <item x="48"/>
        <item x="49"/>
        <item x="51"/>
        <item x="31"/>
        <item x="36"/>
        <item x="55"/>
        <item x="61"/>
        <item x="37"/>
        <item x="29"/>
        <item x="40"/>
        <item x="59"/>
        <item x="42"/>
        <item x="43"/>
        <item x="30"/>
        <item x="33"/>
        <item x="34"/>
        <item x="56"/>
        <item x="52"/>
        <item x="65"/>
        <item x="53"/>
        <item x="62"/>
        <item x="54"/>
        <item x="64"/>
        <item x="38"/>
        <item x="39"/>
        <item x="41"/>
        <item x="70"/>
        <item x="99"/>
        <item x="68"/>
        <item x="3"/>
        <item x="98"/>
        <item x="108"/>
        <item x="92"/>
        <item x="107"/>
        <item x="76"/>
        <item x="79"/>
        <item x="85"/>
        <item x="94"/>
        <item x="91"/>
        <item x="97"/>
        <item t="default"/>
      </items>
    </pivotField>
    <pivotField showAll="0"/>
    <pivotField dataField="1" showAll="0"/>
    <pivotField showAll="0"/>
    <pivotField showAll="0"/>
    <pivotField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2"/>
  </rowFields>
  <rowItems count="70"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62"/>
    </i>
    <i>
      <x v="63"/>
    </i>
    <i>
      <x v="64"/>
    </i>
    <i>
      <x v="103"/>
    </i>
    <i>
      <x v="104"/>
    </i>
    <i>
      <x v="105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 t="grand">
      <x/>
    </i>
  </rowItems>
  <colItems count="1">
    <i/>
  </colItems>
  <dataFields count="1">
    <dataField name="Soma de Valor Liquidado" fld="4" baseField="0" baseItem="0"/>
  </dataFields>
  <pivotTableStyleInfo name="PivotStyleLight16" showRowHeaders="1" showColHeaders="1" showRowStripes="0" showColStripes="0" showLastColumn="1"/>
  <filters count="1">
    <filter fld="2" type="captionContains" evalOrder="-1" id="2" stringValue1="Universidade">
      <autoFilter ref="A1">
        <filterColumn colId="0">
          <customFilters>
            <customFilter val="*Universidade*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2" xr16:uid="{BF08A388-BA7D-465E-846B-A9BE7563DEA9}" autoFormatId="16" applyNumberFormats="0" applyBorderFormats="0" applyFontFormats="0" applyPatternFormats="0" applyAlignmentFormats="0" applyWidthHeightFormats="0">
  <queryTableRefresh nextId="29">
    <queryTableFields count="28">
      <queryTableField id="1" name="Código Mantenedora" tableColumnId="1"/>
      <queryTableField id="2" name="Razão Social" tableColumnId="2"/>
      <queryTableField id="3" name="CNPJ" tableColumnId="3"/>
      <queryTableField id="4" name="Natureza Jurídica" tableColumnId="4"/>
      <queryTableField id="5" name="Código IES" tableColumnId="5"/>
      <queryTableField id="6" name="Instituição(IES)" tableColumnId="6"/>
      <queryTableField id="7" name="Sigla" tableColumnId="7"/>
      <queryTableField id="8" name="Telefone" tableColumnId="8"/>
      <queryTableField id="9" name="Sitio" tableColumnId="9"/>
      <queryTableField id="10" name="e-Mail" tableColumnId="10"/>
      <queryTableField id="11" name="Endereço Sede" tableColumnId="11"/>
      <queryTableField id="12" name="Município" tableColumnId="12"/>
      <queryTableField id="13" name="UF" tableColumnId="13"/>
      <queryTableField id="14" name="Organização Acadêmica" tableColumnId="14"/>
      <queryTableField id="15" name="Tipo de Credenciamento" tableColumnId="15"/>
      <queryTableField id="16" name="Categoria" tableColumnId="16"/>
      <queryTableField id="17" name="Categoria Administrativa" tableColumnId="17"/>
      <queryTableField id="18" name="Data do Ato de Criação da IES" tableColumnId="18"/>
      <queryTableField id="19" name="CI" tableColumnId="19"/>
      <queryTableField id="20" name="Ano CI" tableColumnId="20"/>
      <queryTableField id="21" name="CI-EaD" tableColumnId="21"/>
      <queryTableField id="22" name="Ano CI-EaD" tableColumnId="22"/>
      <queryTableField id="23" name="IGC" tableColumnId="23"/>
      <queryTableField id="24" name="Ano IGC" tableColumnId="24"/>
      <queryTableField id="25" name="Reitor/Dirigente Principal" tableColumnId="25"/>
      <queryTableField id="26" name="Representante Legal" tableColumnId="26"/>
      <queryTableField id="27" name="Sinalizações Vigentes" tableColumnId="27"/>
      <queryTableField id="28" name="Situação da IES" tableColumnId="28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B876ADA7-0110-45EA-ADFF-3AC01CA442CF}" autoFormatId="16" applyNumberFormats="0" applyBorderFormats="0" applyFontFormats="0" applyPatternFormats="0" applyAlignmentFormats="0" applyWidthHeightFormats="0">
  <queryTableRefresh nextId="10">
    <queryTableFields count="7">
      <queryTableField id="1" name="Mês Ano" tableColumnId="1"/>
      <queryTableField id="2" name="Órgão Superior" tableColumnId="2"/>
      <queryTableField id="3" name="Órgão/Entidade Vinculada" tableColumnId="3"/>
      <queryTableField id="4" name="Valor Empenhado" tableColumnId="4"/>
      <queryTableField id="5" name="Valor Liquidado" tableColumnId="5"/>
      <queryTableField id="6" name="Valor Pago" tableColumnId="6"/>
      <queryTableField id="7" name="Valor Restos a Pagar Pagos" tableColumnId="7"/>
    </queryTableFields>
    <queryTableDeletedFields count="1">
      <deletedField name="Column1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1FB429A-43FC-487B-9C9F-4E484E2E27BB}" name="relatorio_consulta_publica_avan" displayName="relatorio_consulta_publica_avan" ref="A1:AB70" tableType="queryTable" totalsRowShown="0">
  <autoFilter ref="A1:AB70" xr:uid="{E1FB429A-43FC-487B-9C9F-4E484E2E27BB}"/>
  <tableColumns count="28">
    <tableColumn id="1" xr3:uid="{2175E1FE-B25A-4B8C-8449-8F266165D5C4}" uniqueName="1" name="Código Mantenedora" queryTableFieldId="1"/>
    <tableColumn id="2" xr3:uid="{BB024ECB-29F1-4522-B524-873ABBB87E72}" uniqueName="2" name="Razão Social" queryTableFieldId="2" dataDxfId="24"/>
    <tableColumn id="3" xr3:uid="{23735597-6029-448D-8FD2-B85250769CCB}" uniqueName="3" name="CNPJ" queryTableFieldId="3" dataDxfId="23"/>
    <tableColumn id="4" xr3:uid="{41AB6657-5981-4524-A2BA-6FCE15FF170C}" uniqueName="4" name="Natureza Jurídica" queryTableFieldId="4" dataDxfId="22"/>
    <tableColumn id="5" xr3:uid="{27FE73C2-D593-432B-9150-BED3F45D1770}" uniqueName="5" name="Código IES" queryTableFieldId="5"/>
    <tableColumn id="6" xr3:uid="{F4ADCF97-F6C5-4B7C-AF7F-0CAAA309F8EE}" uniqueName="6" name="Instituição(IES)" queryTableFieldId="6" dataDxfId="21"/>
    <tableColumn id="7" xr3:uid="{B9B0B98D-A5DB-4D83-9532-28309D335C78}" uniqueName="7" name="Sigla" queryTableFieldId="7" dataDxfId="20"/>
    <tableColumn id="8" xr3:uid="{802CEA2E-07E6-40A0-8D2A-1AFE0EAC5BD6}" uniqueName="8" name="Telefone" queryTableFieldId="8" dataDxfId="19"/>
    <tableColumn id="9" xr3:uid="{EBAEE673-3DA6-4FD7-B04D-2DF5C0A71FD6}" uniqueName="9" name="Sitio" queryTableFieldId="9" dataDxfId="18"/>
    <tableColumn id="10" xr3:uid="{AD061ED1-1A6A-4621-B84A-132D98957135}" uniqueName="10" name="e-Mail" queryTableFieldId="10" dataDxfId="17"/>
    <tableColumn id="11" xr3:uid="{D7A0D3FD-40DC-49B0-A8F2-ED208F88F60E}" uniqueName="11" name="Endereço Sede" queryTableFieldId="11" dataDxfId="16"/>
    <tableColumn id="12" xr3:uid="{F62E4730-7B38-4910-A261-A616B3E293AF}" uniqueName="12" name="Município" queryTableFieldId="12" dataDxfId="15"/>
    <tableColumn id="13" xr3:uid="{2152C1F0-0A08-4D5F-8172-68C30E6CAA1F}" uniqueName="13" name="UF" queryTableFieldId="13" dataDxfId="14"/>
    <tableColumn id="14" xr3:uid="{E43624C3-E578-4922-8BE2-BE1F8C30EB99}" uniqueName="14" name="Organização Acadêmica" queryTableFieldId="14" dataDxfId="13"/>
    <tableColumn id="15" xr3:uid="{9BA19C00-6DC4-4D70-9D80-733F7379685A}" uniqueName="15" name="Tipo de Credenciamento" queryTableFieldId="15" dataDxfId="12"/>
    <tableColumn id="16" xr3:uid="{1A5A443D-7879-48AB-B92F-41E525DCFADB}" uniqueName="16" name="Categoria" queryTableFieldId="16" dataDxfId="11"/>
    <tableColumn id="17" xr3:uid="{1E3C19A6-DF8B-4CD7-BEDC-2248B1CEFACD}" uniqueName="17" name="Categoria Administrativa" queryTableFieldId="17" dataDxfId="10"/>
    <tableColumn id="18" xr3:uid="{96323392-867B-4AD8-A91C-5657BE442EFE}" uniqueName="18" name="Data do Ato de Criação da IES" queryTableFieldId="18"/>
    <tableColumn id="19" xr3:uid="{6DBA0E67-4F6A-4351-B450-115E5355CC82}" uniqueName="19" name="CI" queryTableFieldId="19" dataDxfId="9"/>
    <tableColumn id="20" xr3:uid="{611B59A8-BFD8-4EE1-8C52-ECE9960562B9}" uniqueName="20" name="Ano CI" queryTableFieldId="20"/>
    <tableColumn id="21" xr3:uid="{0FDAF9DF-DEF8-491E-B32F-E93AE66762C9}" uniqueName="21" name="CI-EaD" queryTableFieldId="21" dataDxfId="8"/>
    <tableColumn id="22" xr3:uid="{FEF13B25-F805-49E0-A672-CF748AC756A8}" uniqueName="22" name="Ano CI-EaD" queryTableFieldId="22"/>
    <tableColumn id="23" xr3:uid="{B9419D00-9422-4419-9156-D4FFA2087ADF}" uniqueName="23" name="IGC" queryTableFieldId="23"/>
    <tableColumn id="24" xr3:uid="{E7442DBD-0F22-4EE4-B36D-10BF060515E1}" uniqueName="24" name="Ano IGC" queryTableFieldId="24"/>
    <tableColumn id="25" xr3:uid="{44E3C127-52A5-4048-ACED-F6B6D39C5B39}" uniqueName="25" name="Reitor/Dirigente Principal" queryTableFieldId="25" dataDxfId="7"/>
    <tableColumn id="26" xr3:uid="{30063050-538E-4C6E-AB75-B16F85AC58E6}" uniqueName="26" name="Representante Legal" queryTableFieldId="26" dataDxfId="6"/>
    <tableColumn id="27" xr3:uid="{D45DF9D3-4AD0-471D-808E-F539BEA3E694}" uniqueName="27" name="Sinalizações Vigentes" queryTableFieldId="27" dataDxfId="5"/>
    <tableColumn id="28" xr3:uid="{8FC2A252-3A44-46B0-8D03-DF41CB2F325C}" uniqueName="28" name="Situação da IES" queryTableFieldId="28" dataDxfId="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B8C7670-0F19-4D89-9936-725C1CD0AB16}" name="despesasPorOrgao" displayName="despesasPorOrgao" ref="A1:G1405" tableType="queryTable" totalsRowShown="0">
  <autoFilter ref="A1:G1405" xr:uid="{9B8C7670-0F19-4D89-9936-725C1CD0AB16}"/>
  <tableColumns count="7">
    <tableColumn id="1" xr3:uid="{D75D8FF2-E8CC-4C7E-BCC9-0C62B30F1FC8}" uniqueName="1" name="Mês Ano" queryTableFieldId="1" dataDxfId="3"/>
    <tableColumn id="2" xr3:uid="{D6E25E20-E63F-43A0-98FF-51507043C41B}" uniqueName="2" name="Órgão Superior" queryTableFieldId="2" dataDxfId="2"/>
    <tableColumn id="3" xr3:uid="{BC7959E4-9416-479F-924D-2A70F27FB3C8}" uniqueName="3" name="Órgão/Entidade Vinculada" queryTableFieldId="3" dataDxfId="1"/>
    <tableColumn id="4" xr3:uid="{CEF7F6D2-AC08-4536-BECC-4A9135232915}" uniqueName="4" name="Valor Empenhado" queryTableFieldId="4" dataDxfId="0"/>
    <tableColumn id="5" xr3:uid="{2F5680BF-C7CF-4F4E-8909-F15E2F47C11A}" uniqueName="5" name="Valor Liquidado" queryTableFieldId="5"/>
    <tableColumn id="6" xr3:uid="{3E2441C6-4021-42FE-9F64-BAB533782753}" uniqueName="6" name="Valor Pago" queryTableFieldId="6"/>
    <tableColumn id="7" xr3:uid="{D36D5BF3-F99E-4C30-964D-C7FC9D591A54}" uniqueName="7" name="Valor Restos a Pagar Pagos" queryTableFieldId="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92D4D-2AA2-453E-A453-5F875F344C96}">
  <dimension ref="A1:AB70"/>
  <sheetViews>
    <sheetView workbookViewId="0">
      <selection activeCell="B20" sqref="B20"/>
    </sheetView>
  </sheetViews>
  <sheetFormatPr defaultRowHeight="15" x14ac:dyDescent="0.25"/>
  <cols>
    <col min="1" max="1" width="22.28515625" bestFit="1" customWidth="1"/>
    <col min="2" max="2" width="76.140625" bestFit="1" customWidth="1"/>
    <col min="3" max="3" width="18" bestFit="1" customWidth="1"/>
    <col min="4" max="4" width="39.7109375" bestFit="1" customWidth="1"/>
    <col min="5" max="5" width="12.42578125" bestFit="1" customWidth="1"/>
    <col min="6" max="6" width="81.140625" bestFit="1" customWidth="1"/>
    <col min="7" max="7" width="11.140625" bestFit="1" customWidth="1"/>
    <col min="8" max="8" width="40.140625" bestFit="1" customWidth="1"/>
    <col min="9" max="9" width="34.42578125" bestFit="1" customWidth="1"/>
    <col min="10" max="10" width="67.7109375" bestFit="1" customWidth="1"/>
    <col min="11" max="11" width="81.140625" bestFit="1" customWidth="1"/>
    <col min="12" max="12" width="16.7109375" bestFit="1" customWidth="1"/>
    <col min="13" max="13" width="5.7109375" bestFit="1" customWidth="1"/>
    <col min="14" max="14" width="24.42578125" bestFit="1" customWidth="1"/>
    <col min="15" max="15" width="35.85546875" bestFit="1" customWidth="1"/>
    <col min="16" max="16" width="11.7109375" bestFit="1" customWidth="1"/>
    <col min="17" max="17" width="25.5703125" bestFit="1" customWidth="1"/>
    <col min="18" max="18" width="29.28515625" bestFit="1" customWidth="1"/>
    <col min="19" max="19" width="5" bestFit="1" customWidth="1"/>
    <col min="20" max="21" width="9" bestFit="1" customWidth="1"/>
    <col min="22" max="22" width="13" bestFit="1" customWidth="1"/>
    <col min="23" max="23" width="6.42578125" bestFit="1" customWidth="1"/>
    <col min="24" max="24" width="10.42578125" bestFit="1" customWidth="1"/>
    <col min="25" max="25" width="26.42578125" bestFit="1" customWidth="1"/>
    <col min="26" max="26" width="21.7109375" bestFit="1" customWidth="1"/>
    <col min="27" max="27" width="22.5703125" bestFit="1" customWidth="1"/>
    <col min="28" max="28" width="16.42578125" bestFit="1" customWidth="1"/>
  </cols>
  <sheetData>
    <row r="1" spans="1:28" x14ac:dyDescent="0.25">
      <c r="A1" t="s">
        <v>1532</v>
      </c>
      <c r="B1" t="s">
        <v>1533</v>
      </c>
      <c r="C1" t="s">
        <v>1534</v>
      </c>
      <c r="D1" t="s">
        <v>1535</v>
      </c>
      <c r="E1" t="s">
        <v>1536</v>
      </c>
      <c r="F1" t="s">
        <v>1537</v>
      </c>
      <c r="G1" t="s">
        <v>1538</v>
      </c>
      <c r="H1" t="s">
        <v>1539</v>
      </c>
      <c r="I1" t="s">
        <v>1540</v>
      </c>
      <c r="J1" t="s">
        <v>1541</v>
      </c>
      <c r="K1" t="s">
        <v>1542</v>
      </c>
      <c r="L1" t="s">
        <v>1543</v>
      </c>
      <c r="M1" t="s">
        <v>1544</v>
      </c>
      <c r="N1" t="s">
        <v>1545</v>
      </c>
      <c r="O1" t="s">
        <v>1546</v>
      </c>
      <c r="P1" t="s">
        <v>1547</v>
      </c>
      <c r="Q1" t="s">
        <v>1548</v>
      </c>
      <c r="R1" t="s">
        <v>1549</v>
      </c>
      <c r="S1" t="s">
        <v>1550</v>
      </c>
      <c r="T1" t="s">
        <v>1551</v>
      </c>
      <c r="U1" t="s">
        <v>1552</v>
      </c>
      <c r="V1" t="s">
        <v>1553</v>
      </c>
      <c r="W1" t="s">
        <v>1554</v>
      </c>
      <c r="X1" t="s">
        <v>1555</v>
      </c>
      <c r="Y1" t="s">
        <v>1556</v>
      </c>
      <c r="Z1" t="s">
        <v>1557</v>
      </c>
      <c r="AA1" t="s">
        <v>1558</v>
      </c>
      <c r="AB1" t="s">
        <v>1559</v>
      </c>
    </row>
    <row r="2" spans="1:28" x14ac:dyDescent="0.25">
      <c r="A2">
        <v>15585</v>
      </c>
      <c r="B2" t="s">
        <v>1560</v>
      </c>
      <c r="C2" t="s">
        <v>1561</v>
      </c>
      <c r="D2" t="s">
        <v>1562</v>
      </c>
      <c r="E2">
        <v>4504</v>
      </c>
      <c r="F2" t="s">
        <v>1563</v>
      </c>
      <c r="G2" t="s">
        <v>1564</v>
      </c>
      <c r="H2" t="s">
        <v>1565</v>
      </c>
      <c r="I2" t="s">
        <v>1566</v>
      </c>
      <c r="J2" t="s">
        <v>1567</v>
      </c>
      <c r="K2" t="s">
        <v>1568</v>
      </c>
      <c r="L2" t="s">
        <v>1569</v>
      </c>
      <c r="M2" t="s">
        <v>1570</v>
      </c>
      <c r="N2" t="s">
        <v>1571</v>
      </c>
      <c r="O2" t="s">
        <v>1572</v>
      </c>
      <c r="P2" t="s">
        <v>1573</v>
      </c>
      <c r="Q2" t="s">
        <v>1574</v>
      </c>
      <c r="R2">
        <v>38565</v>
      </c>
      <c r="S2" t="s">
        <v>1575</v>
      </c>
      <c r="T2">
        <v>2024</v>
      </c>
      <c r="U2" t="s">
        <v>1576</v>
      </c>
      <c r="W2">
        <v>4</v>
      </c>
      <c r="X2">
        <v>2023</v>
      </c>
      <c r="AB2" t="s">
        <v>1577</v>
      </c>
    </row>
    <row r="3" spans="1:28" x14ac:dyDescent="0.25">
      <c r="A3">
        <v>9051</v>
      </c>
      <c r="B3" t="s">
        <v>1578</v>
      </c>
      <c r="C3" t="s">
        <v>1579</v>
      </c>
      <c r="D3" t="s">
        <v>1562</v>
      </c>
      <c r="E3">
        <v>717</v>
      </c>
      <c r="F3" t="s">
        <v>1580</v>
      </c>
      <c r="G3" t="s">
        <v>1581</v>
      </c>
      <c r="H3" t="s">
        <v>1582</v>
      </c>
      <c r="I3" t="s">
        <v>1583</v>
      </c>
      <c r="J3" t="s">
        <v>1584</v>
      </c>
      <c r="K3" t="s">
        <v>1585</v>
      </c>
      <c r="L3" t="s">
        <v>1586</v>
      </c>
      <c r="M3" t="s">
        <v>1587</v>
      </c>
      <c r="N3" t="s">
        <v>1571</v>
      </c>
      <c r="O3" t="s">
        <v>1572</v>
      </c>
      <c r="P3" t="s">
        <v>1573</v>
      </c>
      <c r="Q3" t="s">
        <v>1574</v>
      </c>
      <c r="R3">
        <v>22329</v>
      </c>
      <c r="S3" t="s">
        <v>1575</v>
      </c>
      <c r="T3">
        <v>2017</v>
      </c>
      <c r="U3" t="s">
        <v>1588</v>
      </c>
      <c r="V3">
        <v>2019</v>
      </c>
      <c r="W3">
        <v>5</v>
      </c>
      <c r="X3">
        <v>2023</v>
      </c>
      <c r="AB3" t="s">
        <v>1577</v>
      </c>
    </row>
    <row r="4" spans="1:28" x14ac:dyDescent="0.25">
      <c r="A4">
        <v>15587</v>
      </c>
      <c r="B4" t="s">
        <v>1589</v>
      </c>
      <c r="C4" t="s">
        <v>1590</v>
      </c>
      <c r="D4" t="s">
        <v>1562</v>
      </c>
      <c r="E4">
        <v>699</v>
      </c>
      <c r="F4" t="s">
        <v>1591</v>
      </c>
      <c r="G4" t="s">
        <v>1592</v>
      </c>
      <c r="H4" t="s">
        <v>1593</v>
      </c>
      <c r="I4" t="s">
        <v>1594</v>
      </c>
      <c r="J4" t="s">
        <v>1595</v>
      </c>
      <c r="K4" t="s">
        <v>1596</v>
      </c>
      <c r="L4" t="s">
        <v>1597</v>
      </c>
      <c r="M4" t="s">
        <v>1598</v>
      </c>
      <c r="N4" t="s">
        <v>1571</v>
      </c>
      <c r="O4" t="s">
        <v>1572</v>
      </c>
      <c r="P4" t="s">
        <v>1573</v>
      </c>
      <c r="Q4" t="s">
        <v>1574</v>
      </c>
      <c r="R4">
        <v>30141</v>
      </c>
      <c r="S4" t="s">
        <v>1575</v>
      </c>
      <c r="T4">
        <v>2025</v>
      </c>
      <c r="U4" t="s">
        <v>1599</v>
      </c>
      <c r="V4">
        <v>2016</v>
      </c>
      <c r="W4">
        <v>4</v>
      </c>
      <c r="X4">
        <v>2023</v>
      </c>
      <c r="AB4" t="s">
        <v>1577</v>
      </c>
    </row>
    <row r="5" spans="1:28" x14ac:dyDescent="0.25">
      <c r="A5">
        <v>12529</v>
      </c>
      <c r="B5" t="s">
        <v>1600</v>
      </c>
      <c r="C5" t="s">
        <v>1601</v>
      </c>
      <c r="D5" t="s">
        <v>1562</v>
      </c>
      <c r="E5">
        <v>4925</v>
      </c>
      <c r="F5" t="s">
        <v>1602</v>
      </c>
      <c r="G5" t="s">
        <v>1603</v>
      </c>
      <c r="H5" t="s">
        <v>1604</v>
      </c>
      <c r="I5" t="s">
        <v>1605</v>
      </c>
      <c r="J5" t="s">
        <v>1606</v>
      </c>
      <c r="K5" t="s">
        <v>1607</v>
      </c>
      <c r="L5" t="s">
        <v>1608</v>
      </c>
      <c r="M5" t="s">
        <v>1609</v>
      </c>
      <c r="N5" t="s">
        <v>1571</v>
      </c>
      <c r="O5" t="s">
        <v>1572</v>
      </c>
      <c r="P5" t="s">
        <v>1573</v>
      </c>
      <c r="Q5" t="s">
        <v>1574</v>
      </c>
      <c r="R5">
        <v>38560</v>
      </c>
      <c r="S5" t="s">
        <v>1575</v>
      </c>
      <c r="T5">
        <v>2024</v>
      </c>
      <c r="U5" t="s">
        <v>1575</v>
      </c>
      <c r="V5">
        <v>2019</v>
      </c>
      <c r="W5">
        <v>5</v>
      </c>
      <c r="X5">
        <v>2023</v>
      </c>
      <c r="AB5" t="s">
        <v>1577</v>
      </c>
    </row>
    <row r="6" spans="1:28" x14ac:dyDescent="0.25">
      <c r="A6">
        <v>14838</v>
      </c>
      <c r="B6" t="s">
        <v>1610</v>
      </c>
      <c r="C6" t="s">
        <v>1611</v>
      </c>
      <c r="D6" t="s">
        <v>1562</v>
      </c>
      <c r="E6">
        <v>5322</v>
      </c>
      <c r="F6" t="s">
        <v>1612</v>
      </c>
      <c r="G6" t="s">
        <v>1613</v>
      </c>
      <c r="H6" t="s">
        <v>1614</v>
      </c>
      <c r="I6" t="s">
        <v>1615</v>
      </c>
      <c r="J6" t="s">
        <v>1616</v>
      </c>
      <c r="K6" t="s">
        <v>1617</v>
      </c>
      <c r="L6" t="s">
        <v>1618</v>
      </c>
      <c r="M6" t="s">
        <v>1587</v>
      </c>
      <c r="N6" t="s">
        <v>1571</v>
      </c>
      <c r="O6" t="s">
        <v>1572</v>
      </c>
      <c r="P6" t="s">
        <v>1573</v>
      </c>
      <c r="Q6" t="s">
        <v>1574</v>
      </c>
      <c r="R6">
        <v>39461</v>
      </c>
      <c r="S6" t="s">
        <v>1575</v>
      </c>
      <c r="T6">
        <v>2023</v>
      </c>
      <c r="U6" t="s">
        <v>1588</v>
      </c>
      <c r="V6">
        <v>2014</v>
      </c>
      <c r="W6">
        <v>4</v>
      </c>
      <c r="X6">
        <v>2023</v>
      </c>
      <c r="AB6" t="s">
        <v>1577</v>
      </c>
    </row>
    <row r="7" spans="1:28" x14ac:dyDescent="0.25">
      <c r="A7">
        <v>15498</v>
      </c>
      <c r="B7" t="s">
        <v>1619</v>
      </c>
      <c r="C7" t="s">
        <v>1620</v>
      </c>
      <c r="D7" t="s">
        <v>1562</v>
      </c>
      <c r="E7">
        <v>3849</v>
      </c>
      <c r="F7" t="s">
        <v>1621</v>
      </c>
      <c r="G7" t="s">
        <v>1622</v>
      </c>
      <c r="H7" t="s">
        <v>1623</v>
      </c>
      <c r="I7" t="s">
        <v>1624</v>
      </c>
      <c r="J7" t="s">
        <v>1625</v>
      </c>
      <c r="K7" t="s">
        <v>1626</v>
      </c>
      <c r="L7" t="s">
        <v>1627</v>
      </c>
      <c r="M7" t="s">
        <v>1628</v>
      </c>
      <c r="N7" t="s">
        <v>1571</v>
      </c>
      <c r="O7" t="s">
        <v>1572</v>
      </c>
      <c r="P7" t="s">
        <v>1573</v>
      </c>
      <c r="Q7" t="s">
        <v>1574</v>
      </c>
      <c r="R7">
        <v>36823</v>
      </c>
      <c r="S7" t="s">
        <v>1576</v>
      </c>
      <c r="U7" t="s">
        <v>1576</v>
      </c>
      <c r="W7">
        <v>4</v>
      </c>
      <c r="X7">
        <v>2023</v>
      </c>
      <c r="AB7" t="s">
        <v>1577</v>
      </c>
    </row>
    <row r="8" spans="1:28" x14ac:dyDescent="0.25">
      <c r="A8">
        <v>14107</v>
      </c>
      <c r="B8" t="s">
        <v>1629</v>
      </c>
      <c r="C8" t="s">
        <v>1630</v>
      </c>
      <c r="D8" t="s">
        <v>1562</v>
      </c>
      <c r="E8">
        <v>3984</v>
      </c>
      <c r="F8" t="s">
        <v>1631</v>
      </c>
      <c r="G8" t="s">
        <v>1632</v>
      </c>
      <c r="I8" t="s">
        <v>1633</v>
      </c>
      <c r="J8" t="s">
        <v>1634</v>
      </c>
      <c r="K8" t="s">
        <v>1635</v>
      </c>
      <c r="L8" t="s">
        <v>1636</v>
      </c>
      <c r="M8" t="s">
        <v>1637</v>
      </c>
      <c r="N8" t="s">
        <v>1571</v>
      </c>
      <c r="O8" t="s">
        <v>1572</v>
      </c>
      <c r="P8" t="s">
        <v>1573</v>
      </c>
      <c r="Q8" t="s">
        <v>1574</v>
      </c>
      <c r="R8">
        <v>37435</v>
      </c>
      <c r="S8" t="s">
        <v>1588</v>
      </c>
      <c r="T8">
        <v>2015</v>
      </c>
      <c r="U8" t="s">
        <v>1576</v>
      </c>
      <c r="W8">
        <v>4</v>
      </c>
      <c r="X8">
        <v>2023</v>
      </c>
      <c r="AB8" t="s">
        <v>1577</v>
      </c>
    </row>
    <row r="9" spans="1:28" x14ac:dyDescent="0.25">
      <c r="A9">
        <v>16658</v>
      </c>
      <c r="B9" t="s">
        <v>1638</v>
      </c>
      <c r="C9" t="s">
        <v>1639</v>
      </c>
      <c r="D9" t="s">
        <v>1562</v>
      </c>
      <c r="E9">
        <v>15497</v>
      </c>
      <c r="F9" t="s">
        <v>1640</v>
      </c>
      <c r="G9" t="s">
        <v>1641</v>
      </c>
      <c r="H9" t="s">
        <v>1642</v>
      </c>
      <c r="I9" t="s">
        <v>1643</v>
      </c>
      <c r="J9" t="s">
        <v>1644</v>
      </c>
      <c r="K9" t="s">
        <v>1645</v>
      </c>
      <c r="L9" t="s">
        <v>1646</v>
      </c>
      <c r="M9" t="s">
        <v>1647</v>
      </c>
      <c r="N9" t="s">
        <v>1571</v>
      </c>
      <c r="O9" t="s">
        <v>1572</v>
      </c>
      <c r="P9" t="s">
        <v>1573</v>
      </c>
      <c r="Q9" t="s">
        <v>1574</v>
      </c>
      <c r="R9">
        <v>40380</v>
      </c>
      <c r="S9" t="s">
        <v>1588</v>
      </c>
      <c r="T9">
        <v>2017</v>
      </c>
      <c r="U9" t="s">
        <v>1575</v>
      </c>
      <c r="V9">
        <v>2022</v>
      </c>
      <c r="W9">
        <v>4</v>
      </c>
      <c r="X9">
        <v>2023</v>
      </c>
      <c r="AB9" t="s">
        <v>1577</v>
      </c>
    </row>
    <row r="10" spans="1:28" x14ac:dyDescent="0.25">
      <c r="A10">
        <v>2</v>
      </c>
      <c r="B10" t="s">
        <v>1648</v>
      </c>
      <c r="C10" t="s">
        <v>1649</v>
      </c>
      <c r="D10" t="s">
        <v>1562</v>
      </c>
      <c r="E10">
        <v>2</v>
      </c>
      <c r="F10" t="s">
        <v>1650</v>
      </c>
      <c r="G10" t="s">
        <v>1651</v>
      </c>
      <c r="H10" t="s">
        <v>1652</v>
      </c>
      <c r="I10" t="s">
        <v>1653</v>
      </c>
      <c r="J10" t="s">
        <v>1654</v>
      </c>
      <c r="K10" t="s">
        <v>1655</v>
      </c>
      <c r="L10" t="s">
        <v>1656</v>
      </c>
      <c r="M10" t="s">
        <v>1657</v>
      </c>
      <c r="N10" t="s">
        <v>1571</v>
      </c>
      <c r="O10" t="s">
        <v>1572</v>
      </c>
      <c r="P10" t="s">
        <v>1573</v>
      </c>
      <c r="Q10" t="s">
        <v>1574</v>
      </c>
      <c r="R10">
        <v>22662</v>
      </c>
      <c r="S10" t="s">
        <v>1575</v>
      </c>
      <c r="T10">
        <v>2020</v>
      </c>
      <c r="U10" t="s">
        <v>1575</v>
      </c>
      <c r="V10">
        <v>2023</v>
      </c>
      <c r="W10">
        <v>5</v>
      </c>
      <c r="X10">
        <v>2023</v>
      </c>
      <c r="AB10" t="s">
        <v>1577</v>
      </c>
    </row>
    <row r="11" spans="1:28" x14ac:dyDescent="0.25">
      <c r="A11">
        <v>15594</v>
      </c>
      <c r="B11" t="s">
        <v>1658</v>
      </c>
      <c r="C11" t="s">
        <v>1659</v>
      </c>
      <c r="D11" t="s">
        <v>1562</v>
      </c>
      <c r="E11">
        <v>578</v>
      </c>
      <c r="F11" t="s">
        <v>1660</v>
      </c>
      <c r="G11" t="s">
        <v>1661</v>
      </c>
      <c r="H11" t="s">
        <v>1662</v>
      </c>
      <c r="I11" t="s">
        <v>1663</v>
      </c>
      <c r="J11" t="s">
        <v>1664</v>
      </c>
      <c r="K11" t="s">
        <v>1665</v>
      </c>
      <c r="L11" t="s">
        <v>1666</v>
      </c>
      <c r="M11" t="s">
        <v>1667</v>
      </c>
      <c r="N11" t="s">
        <v>1571</v>
      </c>
      <c r="O11" t="s">
        <v>1572</v>
      </c>
      <c r="P11" t="s">
        <v>1573</v>
      </c>
      <c r="Q11" t="s">
        <v>1574</v>
      </c>
      <c r="R11">
        <v>16904</v>
      </c>
      <c r="S11" t="s">
        <v>1575</v>
      </c>
      <c r="T11">
        <v>2023</v>
      </c>
      <c r="U11" t="s">
        <v>1575</v>
      </c>
      <c r="V11">
        <v>2023</v>
      </c>
      <c r="W11">
        <v>5</v>
      </c>
      <c r="X11">
        <v>2023</v>
      </c>
      <c r="AB11" t="s">
        <v>1577</v>
      </c>
    </row>
    <row r="12" spans="1:28" x14ac:dyDescent="0.25">
      <c r="A12">
        <v>14750</v>
      </c>
      <c r="B12" t="s">
        <v>1668</v>
      </c>
      <c r="C12" t="s">
        <v>1669</v>
      </c>
      <c r="D12" t="s">
        <v>1562</v>
      </c>
      <c r="E12">
        <v>15121</v>
      </c>
      <c r="F12" t="s">
        <v>1670</v>
      </c>
      <c r="G12" t="s">
        <v>1671</v>
      </c>
      <c r="H12" t="s">
        <v>1672</v>
      </c>
      <c r="I12" t="s">
        <v>1673</v>
      </c>
      <c r="J12" t="s">
        <v>1674</v>
      </c>
      <c r="K12" t="s">
        <v>1675</v>
      </c>
      <c r="L12" t="s">
        <v>1676</v>
      </c>
      <c r="M12" t="s">
        <v>1677</v>
      </c>
      <c r="N12" t="s">
        <v>1571</v>
      </c>
      <c r="O12" t="s">
        <v>1678</v>
      </c>
      <c r="P12" t="s">
        <v>1573</v>
      </c>
      <c r="Q12" t="s">
        <v>1574</v>
      </c>
      <c r="R12">
        <v>40073</v>
      </c>
      <c r="S12" t="s">
        <v>1576</v>
      </c>
      <c r="U12" t="s">
        <v>1576</v>
      </c>
      <c r="W12">
        <v>4</v>
      </c>
      <c r="X12">
        <v>2023</v>
      </c>
      <c r="AB12" t="s">
        <v>1577</v>
      </c>
    </row>
    <row r="13" spans="1:28" x14ac:dyDescent="0.25">
      <c r="A13">
        <v>15600</v>
      </c>
      <c r="B13" t="s">
        <v>1679</v>
      </c>
      <c r="C13" t="s">
        <v>1680</v>
      </c>
      <c r="D13" t="s">
        <v>1562</v>
      </c>
      <c r="E13">
        <v>15001</v>
      </c>
      <c r="F13" t="s">
        <v>1681</v>
      </c>
      <c r="G13" t="s">
        <v>1682</v>
      </c>
      <c r="H13" t="s">
        <v>1683</v>
      </c>
      <c r="I13" t="s">
        <v>1684</v>
      </c>
      <c r="J13" t="s">
        <v>1685</v>
      </c>
      <c r="K13" t="s">
        <v>1686</v>
      </c>
      <c r="L13" t="s">
        <v>1687</v>
      </c>
      <c r="M13" t="s">
        <v>1688</v>
      </c>
      <c r="N13" t="s">
        <v>1571</v>
      </c>
      <c r="O13" t="s">
        <v>1572</v>
      </c>
      <c r="P13" t="s">
        <v>1573</v>
      </c>
      <c r="Q13" t="s">
        <v>1574</v>
      </c>
      <c r="R13">
        <v>40191</v>
      </c>
      <c r="S13" t="s">
        <v>1588</v>
      </c>
      <c r="T13">
        <v>2016</v>
      </c>
      <c r="U13" t="s">
        <v>1588</v>
      </c>
      <c r="V13">
        <v>2015</v>
      </c>
      <c r="W13">
        <v>4</v>
      </c>
      <c r="X13">
        <v>2023</v>
      </c>
      <c r="AB13" t="s">
        <v>1577</v>
      </c>
    </row>
    <row r="14" spans="1:28" x14ac:dyDescent="0.25">
      <c r="A14">
        <v>15590</v>
      </c>
      <c r="B14" t="s">
        <v>1689</v>
      </c>
      <c r="C14" t="s">
        <v>1690</v>
      </c>
      <c r="D14" t="s">
        <v>1562</v>
      </c>
      <c r="E14">
        <v>579</v>
      </c>
      <c r="F14" t="s">
        <v>1691</v>
      </c>
      <c r="G14" t="s">
        <v>1692</v>
      </c>
      <c r="H14" t="s">
        <v>1693</v>
      </c>
      <c r="I14" t="s">
        <v>1694</v>
      </c>
      <c r="J14" t="s">
        <v>1695</v>
      </c>
      <c r="K14" t="s">
        <v>1696</v>
      </c>
      <c r="L14" t="s">
        <v>1697</v>
      </c>
      <c r="M14" t="s">
        <v>1698</v>
      </c>
      <c r="N14" t="s">
        <v>1571</v>
      </c>
      <c r="O14" t="s">
        <v>1572</v>
      </c>
      <c r="P14" t="s">
        <v>1573</v>
      </c>
      <c r="Q14" t="s">
        <v>1574</v>
      </c>
      <c r="R14">
        <v>20427</v>
      </c>
      <c r="S14" t="s">
        <v>1588</v>
      </c>
      <c r="T14">
        <v>2013</v>
      </c>
      <c r="U14" t="s">
        <v>1588</v>
      </c>
      <c r="V14">
        <v>2016</v>
      </c>
      <c r="W14">
        <v>4</v>
      </c>
      <c r="X14">
        <v>2023</v>
      </c>
      <c r="AB14" t="s">
        <v>1577</v>
      </c>
    </row>
    <row r="15" spans="1:28" x14ac:dyDescent="0.25">
      <c r="A15">
        <v>15601</v>
      </c>
      <c r="B15" t="s">
        <v>1699</v>
      </c>
      <c r="C15" t="s">
        <v>1700</v>
      </c>
      <c r="D15" t="s">
        <v>1562</v>
      </c>
      <c r="E15">
        <v>577</v>
      </c>
      <c r="F15" t="s">
        <v>1701</v>
      </c>
      <c r="G15" t="s">
        <v>1702</v>
      </c>
      <c r="H15" t="s">
        <v>1703</v>
      </c>
      <c r="I15" t="s">
        <v>1704</v>
      </c>
      <c r="J15" t="s">
        <v>1705</v>
      </c>
      <c r="K15" t="s">
        <v>1706</v>
      </c>
      <c r="L15" t="s">
        <v>1707</v>
      </c>
      <c r="M15" t="s">
        <v>1708</v>
      </c>
      <c r="N15" t="s">
        <v>1571</v>
      </c>
      <c r="O15" t="s">
        <v>1572</v>
      </c>
      <c r="P15" t="s">
        <v>1573</v>
      </c>
      <c r="Q15" t="s">
        <v>1574</v>
      </c>
      <c r="R15">
        <v>22308</v>
      </c>
      <c r="S15" t="s">
        <v>1588</v>
      </c>
      <c r="T15">
        <v>2018</v>
      </c>
      <c r="U15" t="s">
        <v>1588</v>
      </c>
      <c r="V15">
        <v>2019</v>
      </c>
      <c r="W15">
        <v>4</v>
      </c>
      <c r="X15">
        <v>2023</v>
      </c>
      <c r="AB15" t="s">
        <v>1577</v>
      </c>
    </row>
    <row r="16" spans="1:28" x14ac:dyDescent="0.25">
      <c r="A16">
        <v>15031</v>
      </c>
      <c r="B16" t="s">
        <v>1709</v>
      </c>
      <c r="C16" t="s">
        <v>1710</v>
      </c>
      <c r="D16" t="s">
        <v>1562</v>
      </c>
      <c r="E16">
        <v>595</v>
      </c>
      <c r="F16" t="s">
        <v>1711</v>
      </c>
      <c r="G16" t="s">
        <v>1712</v>
      </c>
      <c r="H16" t="s">
        <v>1713</v>
      </c>
      <c r="I16" t="s">
        <v>1714</v>
      </c>
      <c r="J16" t="s">
        <v>1715</v>
      </c>
      <c r="K16" t="s">
        <v>1716</v>
      </c>
      <c r="L16" t="s">
        <v>1717</v>
      </c>
      <c r="M16" t="s">
        <v>1718</v>
      </c>
      <c r="N16" t="s">
        <v>1571</v>
      </c>
      <c r="O16" t="s">
        <v>1572</v>
      </c>
      <c r="P16" t="s">
        <v>1573</v>
      </c>
      <c r="Q16" t="s">
        <v>1574</v>
      </c>
      <c r="R16">
        <v>5733</v>
      </c>
      <c r="S16" t="s">
        <v>1588</v>
      </c>
      <c r="T16">
        <v>2017</v>
      </c>
      <c r="U16" t="s">
        <v>1599</v>
      </c>
      <c r="V16">
        <v>2019</v>
      </c>
      <c r="W16">
        <v>4</v>
      </c>
      <c r="X16">
        <v>2023</v>
      </c>
      <c r="AB16" t="s">
        <v>1577</v>
      </c>
    </row>
    <row r="17" spans="1:28" x14ac:dyDescent="0.25">
      <c r="A17">
        <v>14341</v>
      </c>
      <c r="B17" t="s">
        <v>1719</v>
      </c>
      <c r="C17" t="s">
        <v>1720</v>
      </c>
      <c r="D17" t="s">
        <v>1562</v>
      </c>
      <c r="E17">
        <v>2564</v>
      </c>
      <c r="F17" t="s">
        <v>1721</v>
      </c>
      <c r="G17" t="s">
        <v>1722</v>
      </c>
      <c r="H17" t="s">
        <v>1723</v>
      </c>
      <c r="I17" t="s">
        <v>1724</v>
      </c>
      <c r="J17" t="s">
        <v>1725</v>
      </c>
      <c r="K17" t="s">
        <v>1726</v>
      </c>
      <c r="L17" t="s">
        <v>1727</v>
      </c>
      <c r="M17" t="s">
        <v>1698</v>
      </c>
      <c r="N17" t="s">
        <v>1571</v>
      </c>
      <c r="O17" t="s">
        <v>1572</v>
      </c>
      <c r="P17" t="s">
        <v>1573</v>
      </c>
      <c r="Q17" t="s">
        <v>1574</v>
      </c>
      <c r="R17">
        <v>37356</v>
      </c>
      <c r="S17" t="s">
        <v>1599</v>
      </c>
      <c r="T17">
        <v>2009</v>
      </c>
      <c r="U17" t="s">
        <v>1576</v>
      </c>
      <c r="W17">
        <v>4</v>
      </c>
      <c r="X17">
        <v>2023</v>
      </c>
      <c r="AB17" t="s">
        <v>1577</v>
      </c>
    </row>
    <row r="18" spans="1:28" x14ac:dyDescent="0.25">
      <c r="A18">
        <v>17816</v>
      </c>
      <c r="B18" t="s">
        <v>1728</v>
      </c>
      <c r="C18" t="s">
        <v>1729</v>
      </c>
      <c r="D18" t="s">
        <v>1562</v>
      </c>
      <c r="E18">
        <v>25274</v>
      </c>
      <c r="F18" t="s">
        <v>1730</v>
      </c>
      <c r="G18" t="s">
        <v>1731</v>
      </c>
      <c r="H18" t="s">
        <v>1732</v>
      </c>
      <c r="I18" t="s">
        <v>1733</v>
      </c>
      <c r="J18" t="s">
        <v>1734</v>
      </c>
      <c r="K18" t="s">
        <v>1735</v>
      </c>
      <c r="L18" t="s">
        <v>1736</v>
      </c>
      <c r="M18" t="s">
        <v>1737</v>
      </c>
      <c r="N18" t="s">
        <v>1571</v>
      </c>
      <c r="O18" t="s">
        <v>1572</v>
      </c>
      <c r="P18" t="s">
        <v>1573</v>
      </c>
      <c r="Q18" t="s">
        <v>1574</v>
      </c>
      <c r="R18">
        <v>43180</v>
      </c>
      <c r="S18" t="s">
        <v>1575</v>
      </c>
      <c r="T18">
        <v>2024</v>
      </c>
      <c r="U18" t="s">
        <v>1576</v>
      </c>
      <c r="W18">
        <v>4</v>
      </c>
      <c r="X18">
        <v>2023</v>
      </c>
      <c r="AB18" t="s">
        <v>1577</v>
      </c>
    </row>
    <row r="19" spans="1:28" x14ac:dyDescent="0.25">
      <c r="A19">
        <v>14856</v>
      </c>
      <c r="B19" t="s">
        <v>1738</v>
      </c>
      <c r="C19" t="s">
        <v>1739</v>
      </c>
      <c r="D19" t="s">
        <v>1562</v>
      </c>
      <c r="E19">
        <v>584</v>
      </c>
      <c r="F19" t="s">
        <v>1740</v>
      </c>
      <c r="G19" t="s">
        <v>1741</v>
      </c>
      <c r="H19" t="s">
        <v>1742</v>
      </c>
      <c r="I19" t="s">
        <v>1743</v>
      </c>
      <c r="J19" t="s">
        <v>1744</v>
      </c>
      <c r="K19" t="s">
        <v>1745</v>
      </c>
      <c r="L19" t="s">
        <v>1746</v>
      </c>
      <c r="M19" t="s">
        <v>1737</v>
      </c>
      <c r="N19" t="s">
        <v>1571</v>
      </c>
      <c r="O19" t="s">
        <v>1572</v>
      </c>
      <c r="P19" t="s">
        <v>1573</v>
      </c>
      <c r="Q19" t="s">
        <v>1574</v>
      </c>
      <c r="R19">
        <v>22270</v>
      </c>
      <c r="S19" t="s">
        <v>1588</v>
      </c>
      <c r="T19">
        <v>2015</v>
      </c>
      <c r="U19" t="s">
        <v>1576</v>
      </c>
      <c r="W19">
        <v>5</v>
      </c>
      <c r="X19">
        <v>2023</v>
      </c>
      <c r="AB19" t="s">
        <v>1577</v>
      </c>
    </row>
    <row r="20" spans="1:28" x14ac:dyDescent="0.25">
      <c r="A20">
        <v>9050</v>
      </c>
      <c r="B20" t="s">
        <v>1747</v>
      </c>
      <c r="C20" t="s">
        <v>1748</v>
      </c>
      <c r="D20" t="s">
        <v>1562</v>
      </c>
      <c r="E20">
        <v>598</v>
      </c>
      <c r="F20" t="s">
        <v>1749</v>
      </c>
      <c r="G20" t="s">
        <v>1750</v>
      </c>
      <c r="H20" t="s">
        <v>1751</v>
      </c>
      <c r="I20" t="s">
        <v>1752</v>
      </c>
      <c r="J20" t="s">
        <v>1753</v>
      </c>
      <c r="K20" t="s">
        <v>1754</v>
      </c>
      <c r="L20" t="s">
        <v>1755</v>
      </c>
      <c r="M20" t="s">
        <v>1718</v>
      </c>
      <c r="N20" t="s">
        <v>1571</v>
      </c>
      <c r="O20" t="s">
        <v>1572</v>
      </c>
      <c r="P20" t="s">
        <v>1573</v>
      </c>
      <c r="Q20" t="s">
        <v>1574</v>
      </c>
      <c r="R20">
        <v>4757</v>
      </c>
      <c r="S20" t="s">
        <v>1588</v>
      </c>
      <c r="T20">
        <v>2016</v>
      </c>
      <c r="U20" t="s">
        <v>1588</v>
      </c>
      <c r="V20">
        <v>2015</v>
      </c>
      <c r="W20">
        <v>4</v>
      </c>
      <c r="X20">
        <v>2023</v>
      </c>
      <c r="AB20" t="s">
        <v>1577</v>
      </c>
    </row>
    <row r="21" spans="1:28" x14ac:dyDescent="0.25">
      <c r="A21">
        <v>17824</v>
      </c>
      <c r="B21" t="s">
        <v>1756</v>
      </c>
      <c r="C21" t="s">
        <v>1757</v>
      </c>
      <c r="D21" t="s">
        <v>1562</v>
      </c>
      <c r="E21">
        <v>25282</v>
      </c>
      <c r="F21" t="s">
        <v>1758</v>
      </c>
      <c r="G21" t="s">
        <v>1759</v>
      </c>
      <c r="H21" t="s">
        <v>1760</v>
      </c>
      <c r="J21" t="s">
        <v>1761</v>
      </c>
      <c r="K21" t="s">
        <v>1762</v>
      </c>
      <c r="L21" t="s">
        <v>1763</v>
      </c>
      <c r="M21" t="s">
        <v>1737</v>
      </c>
      <c r="N21" t="s">
        <v>1571</v>
      </c>
      <c r="O21" t="s">
        <v>1678</v>
      </c>
      <c r="P21" t="s">
        <v>1573</v>
      </c>
      <c r="Q21" t="s">
        <v>1574</v>
      </c>
      <c r="R21">
        <v>43180</v>
      </c>
      <c r="S21" t="s">
        <v>1576</v>
      </c>
      <c r="U21" t="s">
        <v>1576</v>
      </c>
      <c r="W21">
        <v>4</v>
      </c>
      <c r="X21">
        <v>2023</v>
      </c>
      <c r="AB21" t="s">
        <v>1577</v>
      </c>
    </row>
    <row r="22" spans="1:28" x14ac:dyDescent="0.25">
      <c r="A22">
        <v>15648</v>
      </c>
      <c r="B22" t="s">
        <v>1764</v>
      </c>
      <c r="C22" t="s">
        <v>1765</v>
      </c>
      <c r="D22" t="s">
        <v>1562</v>
      </c>
      <c r="E22">
        <v>576</v>
      </c>
      <c r="F22" t="s">
        <v>1766</v>
      </c>
      <c r="G22" t="s">
        <v>1767</v>
      </c>
      <c r="H22" t="s">
        <v>1768</v>
      </c>
      <c r="I22" t="s">
        <v>1769</v>
      </c>
      <c r="J22" t="s">
        <v>1770</v>
      </c>
      <c r="K22" t="s">
        <v>1771</v>
      </c>
      <c r="L22" t="s">
        <v>1772</v>
      </c>
      <c r="M22" t="s">
        <v>1718</v>
      </c>
      <c r="N22" t="s">
        <v>1571</v>
      </c>
      <c r="O22" t="s">
        <v>1572</v>
      </c>
      <c r="P22" t="s">
        <v>1573</v>
      </c>
      <c r="Q22" t="s">
        <v>1574</v>
      </c>
      <c r="R22">
        <v>22273</v>
      </c>
      <c r="S22" t="s">
        <v>1575</v>
      </c>
      <c r="T22">
        <v>2023</v>
      </c>
      <c r="U22" t="s">
        <v>1599</v>
      </c>
      <c r="V22">
        <v>2013</v>
      </c>
      <c r="W22">
        <v>5</v>
      </c>
      <c r="X22">
        <v>2023</v>
      </c>
      <c r="AB22" t="s">
        <v>1577</v>
      </c>
    </row>
    <row r="23" spans="1:28" x14ac:dyDescent="0.25">
      <c r="A23">
        <v>8137</v>
      </c>
      <c r="B23" t="s">
        <v>1773</v>
      </c>
      <c r="C23" t="s">
        <v>1774</v>
      </c>
      <c r="D23" t="s">
        <v>1562</v>
      </c>
      <c r="E23">
        <v>592</v>
      </c>
      <c r="F23" t="s">
        <v>1775</v>
      </c>
      <c r="G23" t="s">
        <v>1776</v>
      </c>
      <c r="H23" t="s">
        <v>1777</v>
      </c>
      <c r="I23" t="s">
        <v>1778</v>
      </c>
      <c r="J23" t="s">
        <v>1779</v>
      </c>
      <c r="K23" t="s">
        <v>1780</v>
      </c>
      <c r="L23" t="s">
        <v>1781</v>
      </c>
      <c r="M23" t="s">
        <v>1718</v>
      </c>
      <c r="N23" t="s">
        <v>1571</v>
      </c>
      <c r="O23" t="s">
        <v>1572</v>
      </c>
      <c r="P23" t="s">
        <v>1573</v>
      </c>
      <c r="Q23" t="s">
        <v>1574</v>
      </c>
      <c r="R23">
        <v>23390</v>
      </c>
      <c r="S23" t="s">
        <v>1575</v>
      </c>
      <c r="T23">
        <v>2013</v>
      </c>
      <c r="U23" t="s">
        <v>1575</v>
      </c>
      <c r="V23">
        <v>2013</v>
      </c>
      <c r="W23">
        <v>5</v>
      </c>
      <c r="X23">
        <v>2023</v>
      </c>
      <c r="AB23" t="s">
        <v>1577</v>
      </c>
    </row>
    <row r="24" spans="1:28" x14ac:dyDescent="0.25">
      <c r="A24">
        <v>1</v>
      </c>
      <c r="B24" t="s">
        <v>1782</v>
      </c>
      <c r="C24" t="s">
        <v>1783</v>
      </c>
      <c r="D24" t="s">
        <v>1562</v>
      </c>
      <c r="E24">
        <v>1</v>
      </c>
      <c r="F24" t="s">
        <v>1784</v>
      </c>
      <c r="G24" t="s">
        <v>1785</v>
      </c>
      <c r="H24" t="s">
        <v>1786</v>
      </c>
      <c r="I24" t="s">
        <v>1787</v>
      </c>
      <c r="J24" t="s">
        <v>1788</v>
      </c>
      <c r="K24" t="s">
        <v>1789</v>
      </c>
      <c r="L24" t="s">
        <v>1790</v>
      </c>
      <c r="M24" t="s">
        <v>1791</v>
      </c>
      <c r="N24" t="s">
        <v>1571</v>
      </c>
      <c r="O24" t="s">
        <v>1572</v>
      </c>
      <c r="P24" t="s">
        <v>1573</v>
      </c>
      <c r="Q24" t="s">
        <v>1574</v>
      </c>
      <c r="R24">
        <v>25916</v>
      </c>
      <c r="S24" t="s">
        <v>1588</v>
      </c>
      <c r="T24">
        <v>2023</v>
      </c>
      <c r="U24" t="s">
        <v>1588</v>
      </c>
      <c r="V24">
        <v>2013</v>
      </c>
      <c r="W24">
        <v>4</v>
      </c>
      <c r="X24">
        <v>2023</v>
      </c>
      <c r="AB24" t="s">
        <v>1577</v>
      </c>
    </row>
    <row r="25" spans="1:28" x14ac:dyDescent="0.25">
      <c r="A25">
        <v>462</v>
      </c>
      <c r="B25" t="s">
        <v>1792</v>
      </c>
      <c r="C25" t="s">
        <v>1793</v>
      </c>
      <c r="D25" t="s">
        <v>1562</v>
      </c>
      <c r="E25">
        <v>694</v>
      </c>
      <c r="F25" t="s">
        <v>1794</v>
      </c>
      <c r="G25" t="s">
        <v>1795</v>
      </c>
      <c r="H25" t="s">
        <v>1796</v>
      </c>
      <c r="I25" t="s">
        <v>1797</v>
      </c>
      <c r="J25" t="s">
        <v>1798</v>
      </c>
      <c r="K25" t="s">
        <v>1799</v>
      </c>
      <c r="L25" t="s">
        <v>1800</v>
      </c>
      <c r="M25" t="s">
        <v>1570</v>
      </c>
      <c r="N25" t="s">
        <v>1571</v>
      </c>
      <c r="O25" t="s">
        <v>1572</v>
      </c>
      <c r="P25" t="s">
        <v>1573</v>
      </c>
      <c r="Q25" t="s">
        <v>1574</v>
      </c>
      <c r="R25">
        <v>29041</v>
      </c>
      <c r="S25" t="s">
        <v>1575</v>
      </c>
      <c r="T25">
        <v>2023</v>
      </c>
      <c r="U25" t="s">
        <v>1575</v>
      </c>
      <c r="V25">
        <v>2023</v>
      </c>
      <c r="W25">
        <v>4</v>
      </c>
      <c r="X25">
        <v>2023</v>
      </c>
      <c r="AB25" t="s">
        <v>1577</v>
      </c>
    </row>
    <row r="26" spans="1:28" x14ac:dyDescent="0.25">
      <c r="A26">
        <v>15515</v>
      </c>
      <c r="B26" t="s">
        <v>1801</v>
      </c>
      <c r="C26" t="s">
        <v>1802</v>
      </c>
      <c r="D26" t="s">
        <v>1562</v>
      </c>
      <c r="E26">
        <v>575</v>
      </c>
      <c r="F26" t="s">
        <v>1803</v>
      </c>
      <c r="G26" t="s">
        <v>1804</v>
      </c>
      <c r="H26" t="s">
        <v>1805</v>
      </c>
      <c r="I26" t="s">
        <v>1806</v>
      </c>
      <c r="J26" t="s">
        <v>1807</v>
      </c>
      <c r="K26" t="s">
        <v>1808</v>
      </c>
      <c r="L26" t="s">
        <v>1809</v>
      </c>
      <c r="M26" t="s">
        <v>1718</v>
      </c>
      <c r="N26" t="s">
        <v>1571</v>
      </c>
      <c r="O26" t="s">
        <v>1572</v>
      </c>
      <c r="P26" t="s">
        <v>1573</v>
      </c>
      <c r="Q26" t="s">
        <v>1574</v>
      </c>
      <c r="R26">
        <v>10112</v>
      </c>
      <c r="S26" t="s">
        <v>1575</v>
      </c>
      <c r="T26">
        <v>2017</v>
      </c>
      <c r="U26" t="s">
        <v>1576</v>
      </c>
      <c r="W26">
        <v>5</v>
      </c>
      <c r="X26">
        <v>2023</v>
      </c>
      <c r="AB26" t="s">
        <v>1577</v>
      </c>
    </row>
    <row r="27" spans="1:28" x14ac:dyDescent="0.25">
      <c r="A27">
        <v>6</v>
      </c>
      <c r="B27" t="s">
        <v>1810</v>
      </c>
      <c r="C27" t="s">
        <v>1811</v>
      </c>
      <c r="D27" t="s">
        <v>1562</v>
      </c>
      <c r="E27">
        <v>6</v>
      </c>
      <c r="F27" t="s">
        <v>1812</v>
      </c>
      <c r="G27" t="s">
        <v>1813</v>
      </c>
      <c r="H27" t="s">
        <v>1814</v>
      </c>
      <c r="I27" t="s">
        <v>1815</v>
      </c>
      <c r="J27" t="s">
        <v>1816</v>
      </c>
      <c r="K27" t="s">
        <v>1817</v>
      </c>
      <c r="L27" t="s">
        <v>1818</v>
      </c>
      <c r="M27" t="s">
        <v>1718</v>
      </c>
      <c r="N27" t="s">
        <v>1571</v>
      </c>
      <c r="O27" t="s">
        <v>1572</v>
      </c>
      <c r="P27" t="s">
        <v>1573</v>
      </c>
      <c r="Q27" t="s">
        <v>1574</v>
      </c>
      <c r="R27">
        <v>25437</v>
      </c>
      <c r="S27" t="s">
        <v>1588</v>
      </c>
      <c r="T27">
        <v>2013</v>
      </c>
      <c r="U27" t="s">
        <v>1588</v>
      </c>
      <c r="V27">
        <v>2014</v>
      </c>
      <c r="W27">
        <v>4</v>
      </c>
      <c r="X27">
        <v>2023</v>
      </c>
      <c r="AB27" t="s">
        <v>1577</v>
      </c>
    </row>
    <row r="28" spans="1:28" x14ac:dyDescent="0.25">
      <c r="A28">
        <v>410</v>
      </c>
      <c r="B28" t="s">
        <v>1819</v>
      </c>
      <c r="C28" t="s">
        <v>1820</v>
      </c>
      <c r="D28" t="s">
        <v>1562</v>
      </c>
      <c r="E28">
        <v>634</v>
      </c>
      <c r="F28" t="s">
        <v>1821</v>
      </c>
      <c r="G28" t="s">
        <v>1822</v>
      </c>
      <c r="H28" t="s">
        <v>1823</v>
      </c>
      <c r="I28" t="s">
        <v>1824</v>
      </c>
      <c r="J28" t="s">
        <v>1825</v>
      </c>
      <c r="K28" t="s">
        <v>1826</v>
      </c>
      <c r="L28" t="s">
        <v>1827</v>
      </c>
      <c r="M28" t="s">
        <v>1587</v>
      </c>
      <c r="N28" t="s">
        <v>1571</v>
      </c>
      <c r="O28" t="s">
        <v>1572</v>
      </c>
      <c r="P28" t="s">
        <v>1573</v>
      </c>
      <c r="Q28" t="s">
        <v>1574</v>
      </c>
      <c r="R28">
        <v>22263</v>
      </c>
      <c r="S28" t="s">
        <v>1588</v>
      </c>
      <c r="T28">
        <v>2017</v>
      </c>
      <c r="U28" t="s">
        <v>1599</v>
      </c>
      <c r="V28">
        <v>2013</v>
      </c>
      <c r="W28">
        <v>4</v>
      </c>
      <c r="X28">
        <v>2023</v>
      </c>
      <c r="AB28" t="s">
        <v>1577</v>
      </c>
    </row>
    <row r="29" spans="1:28" x14ac:dyDescent="0.25">
      <c r="A29">
        <v>15538</v>
      </c>
      <c r="B29" t="s">
        <v>1828</v>
      </c>
      <c r="C29" t="s">
        <v>1829</v>
      </c>
      <c r="D29" t="s">
        <v>1562</v>
      </c>
      <c r="E29">
        <v>580</v>
      </c>
      <c r="F29" t="s">
        <v>1830</v>
      </c>
      <c r="G29" t="s">
        <v>1831</v>
      </c>
      <c r="H29" t="s">
        <v>1832</v>
      </c>
      <c r="I29" t="s">
        <v>1833</v>
      </c>
      <c r="J29" t="s">
        <v>1834</v>
      </c>
      <c r="K29" t="s">
        <v>1835</v>
      </c>
      <c r="L29" t="s">
        <v>1836</v>
      </c>
      <c r="M29" t="s">
        <v>1637</v>
      </c>
      <c r="N29" t="s">
        <v>1571</v>
      </c>
      <c r="O29" t="s">
        <v>1572</v>
      </c>
      <c r="P29" t="s">
        <v>1573</v>
      </c>
      <c r="Q29" t="s">
        <v>1574</v>
      </c>
      <c r="R29">
        <v>16973</v>
      </c>
      <c r="S29" t="s">
        <v>1575</v>
      </c>
      <c r="T29">
        <v>2023</v>
      </c>
      <c r="U29" t="s">
        <v>1575</v>
      </c>
      <c r="V29">
        <v>2022</v>
      </c>
      <c r="W29">
        <v>5</v>
      </c>
      <c r="X29">
        <v>2023</v>
      </c>
      <c r="AB29" t="s">
        <v>1577</v>
      </c>
    </row>
    <row r="30" spans="1:28" x14ac:dyDescent="0.25">
      <c r="A30">
        <v>17853</v>
      </c>
      <c r="B30" t="s">
        <v>1837</v>
      </c>
      <c r="C30" t="s">
        <v>1838</v>
      </c>
      <c r="D30" t="s">
        <v>1562</v>
      </c>
      <c r="E30">
        <v>25352</v>
      </c>
      <c r="F30" t="s">
        <v>1839</v>
      </c>
      <c r="G30" t="s">
        <v>1840</v>
      </c>
      <c r="H30" t="s">
        <v>1841</v>
      </c>
      <c r="I30" t="s">
        <v>1842</v>
      </c>
      <c r="J30" t="s">
        <v>1843</v>
      </c>
      <c r="K30" t="s">
        <v>1844</v>
      </c>
      <c r="L30" t="s">
        <v>1845</v>
      </c>
      <c r="M30" t="s">
        <v>1791</v>
      </c>
      <c r="N30" t="s">
        <v>1571</v>
      </c>
      <c r="O30" t="s">
        <v>1572</v>
      </c>
      <c r="P30" t="s">
        <v>1573</v>
      </c>
      <c r="Q30" t="s">
        <v>1574</v>
      </c>
      <c r="R30">
        <v>43180</v>
      </c>
      <c r="S30" t="s">
        <v>1588</v>
      </c>
      <c r="T30">
        <v>2024</v>
      </c>
      <c r="U30" t="s">
        <v>1576</v>
      </c>
      <c r="W30">
        <v>4</v>
      </c>
      <c r="X30">
        <v>2023</v>
      </c>
      <c r="AB30" t="s">
        <v>1577</v>
      </c>
    </row>
    <row r="31" spans="1:28" x14ac:dyDescent="0.25">
      <c r="A31">
        <v>541</v>
      </c>
      <c r="B31" t="s">
        <v>1846</v>
      </c>
      <c r="C31" t="s">
        <v>1847</v>
      </c>
      <c r="D31" t="s">
        <v>1562</v>
      </c>
      <c r="E31">
        <v>789</v>
      </c>
      <c r="F31" t="s">
        <v>1848</v>
      </c>
      <c r="G31" t="s">
        <v>1849</v>
      </c>
      <c r="H31" t="s">
        <v>1850</v>
      </c>
      <c r="I31" t="s">
        <v>1851</v>
      </c>
      <c r="J31" t="s">
        <v>1852</v>
      </c>
      <c r="K31" t="s">
        <v>1853</v>
      </c>
      <c r="L31" t="s">
        <v>1854</v>
      </c>
      <c r="M31" t="s">
        <v>1855</v>
      </c>
      <c r="N31" t="s">
        <v>1571</v>
      </c>
      <c r="O31" t="s">
        <v>1572</v>
      </c>
      <c r="P31" t="s">
        <v>1573</v>
      </c>
      <c r="Q31" t="s">
        <v>1574</v>
      </c>
      <c r="R31">
        <v>31303</v>
      </c>
      <c r="S31" t="s">
        <v>1599</v>
      </c>
      <c r="T31">
        <v>2010</v>
      </c>
      <c r="U31" t="s">
        <v>1575</v>
      </c>
      <c r="V31">
        <v>2022</v>
      </c>
      <c r="W31">
        <v>4</v>
      </c>
      <c r="X31">
        <v>2023</v>
      </c>
      <c r="AB31" t="s">
        <v>1577</v>
      </c>
    </row>
    <row r="32" spans="1:28" x14ac:dyDescent="0.25">
      <c r="A32">
        <v>15593</v>
      </c>
      <c r="B32" t="s">
        <v>1856</v>
      </c>
      <c r="C32" t="s">
        <v>1857</v>
      </c>
      <c r="D32" t="s">
        <v>1562</v>
      </c>
      <c r="E32">
        <v>585</v>
      </c>
      <c r="F32" t="s">
        <v>1858</v>
      </c>
      <c r="G32" t="s">
        <v>1859</v>
      </c>
      <c r="H32" t="s">
        <v>1860</v>
      </c>
      <c r="I32" t="s">
        <v>1861</v>
      </c>
      <c r="J32" t="s">
        <v>1862</v>
      </c>
      <c r="K32" t="s">
        <v>1863</v>
      </c>
      <c r="L32" t="s">
        <v>1864</v>
      </c>
      <c r="M32" t="s">
        <v>1677</v>
      </c>
      <c r="N32" t="s">
        <v>1571</v>
      </c>
      <c r="O32" t="s">
        <v>1572</v>
      </c>
      <c r="P32" t="s">
        <v>1573</v>
      </c>
      <c r="Q32" t="s">
        <v>1574</v>
      </c>
      <c r="R32">
        <v>22271</v>
      </c>
      <c r="S32" t="s">
        <v>1575</v>
      </c>
      <c r="T32">
        <v>2024</v>
      </c>
      <c r="U32" t="s">
        <v>1588</v>
      </c>
      <c r="V32">
        <v>2019</v>
      </c>
      <c r="W32">
        <v>5</v>
      </c>
      <c r="X32">
        <v>2023</v>
      </c>
      <c r="AB32" t="s">
        <v>1577</v>
      </c>
    </row>
    <row r="33" spans="1:28" x14ac:dyDescent="0.25">
      <c r="A33">
        <v>14678</v>
      </c>
      <c r="B33" t="s">
        <v>1865</v>
      </c>
      <c r="C33" t="s">
        <v>1866</v>
      </c>
      <c r="D33" t="s">
        <v>1562</v>
      </c>
      <c r="E33">
        <v>582</v>
      </c>
      <c r="F33" t="s">
        <v>1867</v>
      </c>
      <c r="G33" t="s">
        <v>1868</v>
      </c>
      <c r="H33" t="s">
        <v>1869</v>
      </c>
      <c r="I33" t="s">
        <v>1870</v>
      </c>
      <c r="J33" t="s">
        <v>1871</v>
      </c>
      <c r="K33" t="s">
        <v>1872</v>
      </c>
      <c r="L33" t="s">
        <v>1873</v>
      </c>
      <c r="M33" t="s">
        <v>1587</v>
      </c>
      <c r="N33" t="s">
        <v>1571</v>
      </c>
      <c r="O33" t="s">
        <v>1572</v>
      </c>
      <c r="P33" t="s">
        <v>1573</v>
      </c>
      <c r="Q33" t="s">
        <v>1574</v>
      </c>
      <c r="R33">
        <v>22270</v>
      </c>
      <c r="S33" t="s">
        <v>1575</v>
      </c>
      <c r="T33">
        <v>2023</v>
      </c>
      <c r="U33" t="s">
        <v>1576</v>
      </c>
      <c r="W33">
        <v>5</v>
      </c>
      <c r="X33">
        <v>2023</v>
      </c>
      <c r="AB33" t="s">
        <v>1577</v>
      </c>
    </row>
    <row r="34" spans="1:28" x14ac:dyDescent="0.25">
      <c r="A34">
        <v>1302</v>
      </c>
      <c r="B34" t="s">
        <v>1874</v>
      </c>
      <c r="C34" t="s">
        <v>1875</v>
      </c>
      <c r="D34" t="s">
        <v>1562</v>
      </c>
      <c r="E34">
        <v>7</v>
      </c>
      <c r="F34" t="s">
        <v>1876</v>
      </c>
      <c r="G34" t="s">
        <v>1877</v>
      </c>
      <c r="H34" t="s">
        <v>1878</v>
      </c>
      <c r="I34" t="s">
        <v>1879</v>
      </c>
      <c r="J34" t="s">
        <v>1880</v>
      </c>
      <c r="K34" t="s">
        <v>1881</v>
      </c>
      <c r="L34" t="s">
        <v>1882</v>
      </c>
      <c r="M34" t="s">
        <v>1609</v>
      </c>
      <c r="N34" t="s">
        <v>1571</v>
      </c>
      <c r="O34" t="s">
        <v>1572</v>
      </c>
      <c r="P34" t="s">
        <v>1573</v>
      </c>
      <c r="Q34" t="s">
        <v>1574</v>
      </c>
      <c r="R34">
        <v>24981</v>
      </c>
      <c r="S34" t="s">
        <v>1575</v>
      </c>
      <c r="T34">
        <v>2023</v>
      </c>
      <c r="U34" t="s">
        <v>1575</v>
      </c>
      <c r="V34">
        <v>2019</v>
      </c>
      <c r="W34">
        <v>5</v>
      </c>
      <c r="X34">
        <v>2023</v>
      </c>
      <c r="AB34" t="s">
        <v>1577</v>
      </c>
    </row>
    <row r="35" spans="1:28" x14ac:dyDescent="0.25">
      <c r="A35">
        <v>81</v>
      </c>
      <c r="B35" t="s">
        <v>1883</v>
      </c>
      <c r="C35" t="s">
        <v>1884</v>
      </c>
      <c r="D35" t="s">
        <v>1562</v>
      </c>
      <c r="E35">
        <v>107</v>
      </c>
      <c r="F35" t="s">
        <v>1885</v>
      </c>
      <c r="G35" t="s">
        <v>1886</v>
      </c>
      <c r="H35" t="s">
        <v>1887</v>
      </c>
      <c r="I35" t="s">
        <v>1888</v>
      </c>
      <c r="J35" t="s">
        <v>1889</v>
      </c>
      <c r="K35" t="s">
        <v>1890</v>
      </c>
      <c r="L35" t="s">
        <v>1891</v>
      </c>
      <c r="M35" t="s">
        <v>1718</v>
      </c>
      <c r="N35" t="s">
        <v>1571</v>
      </c>
      <c r="O35" t="s">
        <v>1572</v>
      </c>
      <c r="P35" t="s">
        <v>1573</v>
      </c>
      <c r="Q35" t="s">
        <v>1574</v>
      </c>
      <c r="R35">
        <v>31769</v>
      </c>
      <c r="S35" t="s">
        <v>1588</v>
      </c>
      <c r="T35">
        <v>2015</v>
      </c>
      <c r="U35" t="s">
        <v>1588</v>
      </c>
      <c r="V35">
        <v>2019</v>
      </c>
      <c r="W35">
        <v>4</v>
      </c>
      <c r="X35">
        <v>2023</v>
      </c>
      <c r="AB35" t="s">
        <v>1577</v>
      </c>
    </row>
    <row r="36" spans="1:28" x14ac:dyDescent="0.25">
      <c r="A36">
        <v>9144</v>
      </c>
      <c r="B36" t="s">
        <v>1892</v>
      </c>
      <c r="C36" t="s">
        <v>1893</v>
      </c>
      <c r="D36" t="s">
        <v>1562</v>
      </c>
      <c r="E36">
        <v>591</v>
      </c>
      <c r="F36" t="s">
        <v>1894</v>
      </c>
      <c r="G36" t="s">
        <v>1895</v>
      </c>
      <c r="H36" t="s">
        <v>1896</v>
      </c>
      <c r="I36" t="s">
        <v>1897</v>
      </c>
      <c r="J36" t="s">
        <v>1898</v>
      </c>
      <c r="K36" t="s">
        <v>1899</v>
      </c>
      <c r="L36" t="s">
        <v>1900</v>
      </c>
      <c r="M36" t="s">
        <v>1609</v>
      </c>
      <c r="N36" t="s">
        <v>1571</v>
      </c>
      <c r="O36" t="s">
        <v>1572</v>
      </c>
      <c r="P36" t="s">
        <v>1573</v>
      </c>
      <c r="Q36" t="s">
        <v>1574</v>
      </c>
      <c r="R36">
        <v>14031</v>
      </c>
      <c r="S36" t="s">
        <v>1575</v>
      </c>
      <c r="T36">
        <v>2017</v>
      </c>
      <c r="U36" t="s">
        <v>1575</v>
      </c>
      <c r="V36">
        <v>2013</v>
      </c>
      <c r="W36">
        <v>5</v>
      </c>
      <c r="X36">
        <v>2023</v>
      </c>
      <c r="AB36" t="s">
        <v>1577</v>
      </c>
    </row>
    <row r="37" spans="1:28" x14ac:dyDescent="0.25">
      <c r="A37">
        <v>3</v>
      </c>
      <c r="B37" t="s">
        <v>1901</v>
      </c>
      <c r="C37" t="s">
        <v>1902</v>
      </c>
      <c r="D37" t="s">
        <v>1562</v>
      </c>
      <c r="E37">
        <v>3</v>
      </c>
      <c r="F37" t="s">
        <v>1903</v>
      </c>
      <c r="G37" t="s">
        <v>1904</v>
      </c>
      <c r="H37" t="s">
        <v>1905</v>
      </c>
      <c r="I37" t="s">
        <v>1906</v>
      </c>
      <c r="J37" t="s">
        <v>1907</v>
      </c>
      <c r="K37" t="s">
        <v>1908</v>
      </c>
      <c r="L37" t="s">
        <v>1909</v>
      </c>
      <c r="M37" t="s">
        <v>1910</v>
      </c>
      <c r="N37" t="s">
        <v>1571</v>
      </c>
      <c r="O37" t="s">
        <v>1572</v>
      </c>
      <c r="P37" t="s">
        <v>1573</v>
      </c>
      <c r="Q37" t="s">
        <v>1574</v>
      </c>
      <c r="R37">
        <v>24531</v>
      </c>
      <c r="S37" t="s">
        <v>1575</v>
      </c>
      <c r="T37">
        <v>2024</v>
      </c>
      <c r="U37" t="s">
        <v>1575</v>
      </c>
      <c r="V37">
        <v>2019</v>
      </c>
      <c r="W37">
        <v>4</v>
      </c>
      <c r="X37">
        <v>2023</v>
      </c>
      <c r="AB37" t="s">
        <v>1577</v>
      </c>
    </row>
    <row r="38" spans="1:28" x14ac:dyDescent="0.25">
      <c r="A38">
        <v>9140</v>
      </c>
      <c r="B38" t="s">
        <v>1911</v>
      </c>
      <c r="C38" t="s">
        <v>1912</v>
      </c>
      <c r="D38" t="s">
        <v>1562</v>
      </c>
      <c r="E38">
        <v>17</v>
      </c>
      <c r="F38" t="s">
        <v>1913</v>
      </c>
      <c r="G38" t="s">
        <v>1914</v>
      </c>
      <c r="H38" t="s">
        <v>1915</v>
      </c>
      <c r="I38" t="s">
        <v>1916</v>
      </c>
      <c r="J38" t="s">
        <v>1917</v>
      </c>
      <c r="K38" t="s">
        <v>1918</v>
      </c>
      <c r="L38" t="s">
        <v>1919</v>
      </c>
      <c r="M38" t="s">
        <v>1718</v>
      </c>
      <c r="N38" t="s">
        <v>1571</v>
      </c>
      <c r="O38" t="s">
        <v>1572</v>
      </c>
      <c r="P38" t="s">
        <v>1573</v>
      </c>
      <c r="Q38" t="s">
        <v>1574</v>
      </c>
      <c r="R38">
        <v>25430</v>
      </c>
      <c r="S38" t="s">
        <v>1575</v>
      </c>
      <c r="T38">
        <v>2023</v>
      </c>
      <c r="U38" t="s">
        <v>1575</v>
      </c>
      <c r="V38">
        <v>2016</v>
      </c>
      <c r="W38">
        <v>5</v>
      </c>
      <c r="X38">
        <v>2023</v>
      </c>
      <c r="AB38" t="s">
        <v>1577</v>
      </c>
    </row>
    <row r="39" spans="1:28" x14ac:dyDescent="0.25">
      <c r="A39">
        <v>15588</v>
      </c>
      <c r="B39" t="s">
        <v>1920</v>
      </c>
      <c r="C39" t="s">
        <v>1921</v>
      </c>
      <c r="D39" t="s">
        <v>1562</v>
      </c>
      <c r="E39">
        <v>8</v>
      </c>
      <c r="F39" t="s">
        <v>1922</v>
      </c>
      <c r="G39" t="s">
        <v>1923</v>
      </c>
      <c r="H39" t="s">
        <v>1924</v>
      </c>
      <c r="I39" t="s">
        <v>1925</v>
      </c>
      <c r="J39" t="s">
        <v>1926</v>
      </c>
      <c r="K39" t="s">
        <v>1927</v>
      </c>
      <c r="L39" t="s">
        <v>1928</v>
      </c>
      <c r="M39" t="s">
        <v>1718</v>
      </c>
      <c r="N39" t="s">
        <v>1571</v>
      </c>
      <c r="O39" t="s">
        <v>1572</v>
      </c>
      <c r="P39" t="s">
        <v>1573</v>
      </c>
      <c r="Q39" t="s">
        <v>1574</v>
      </c>
      <c r="R39">
        <v>8126</v>
      </c>
      <c r="S39" t="s">
        <v>1575</v>
      </c>
      <c r="T39">
        <v>2023</v>
      </c>
      <c r="U39" t="s">
        <v>1575</v>
      </c>
      <c r="V39">
        <v>2021</v>
      </c>
      <c r="W39">
        <v>5</v>
      </c>
      <c r="X39">
        <v>2023</v>
      </c>
      <c r="AB39" t="s">
        <v>1577</v>
      </c>
    </row>
    <row r="40" spans="1:28" x14ac:dyDescent="0.25">
      <c r="A40">
        <v>381</v>
      </c>
      <c r="B40" t="s">
        <v>1929</v>
      </c>
      <c r="C40" t="s">
        <v>1930</v>
      </c>
      <c r="D40" t="s">
        <v>1562</v>
      </c>
      <c r="E40">
        <v>549</v>
      </c>
      <c r="F40" t="s">
        <v>1931</v>
      </c>
      <c r="G40" t="s">
        <v>1932</v>
      </c>
      <c r="H40" t="s">
        <v>1933</v>
      </c>
      <c r="I40" t="s">
        <v>1934</v>
      </c>
      <c r="J40" t="s">
        <v>1935</v>
      </c>
      <c r="K40" t="s">
        <v>1936</v>
      </c>
      <c r="L40" t="s">
        <v>1937</v>
      </c>
      <c r="M40" t="s">
        <v>1938</v>
      </c>
      <c r="N40" t="s">
        <v>1571</v>
      </c>
      <c r="O40" t="s">
        <v>1572</v>
      </c>
      <c r="P40" t="s">
        <v>1573</v>
      </c>
      <c r="Q40" t="s">
        <v>1574</v>
      </c>
      <c r="R40">
        <v>26056</v>
      </c>
      <c r="S40" t="s">
        <v>1588</v>
      </c>
      <c r="T40">
        <v>2016</v>
      </c>
      <c r="U40" t="s">
        <v>1588</v>
      </c>
      <c r="V40">
        <v>2023</v>
      </c>
      <c r="W40">
        <v>4</v>
      </c>
      <c r="X40">
        <v>2023</v>
      </c>
      <c r="AB40" t="s">
        <v>1577</v>
      </c>
    </row>
    <row r="41" spans="1:28" x14ac:dyDescent="0.25">
      <c r="A41">
        <v>17817</v>
      </c>
      <c r="B41" t="s">
        <v>1939</v>
      </c>
      <c r="C41" t="s">
        <v>1940</v>
      </c>
      <c r="D41" t="s">
        <v>1562</v>
      </c>
      <c r="E41">
        <v>25275</v>
      </c>
      <c r="F41" t="s">
        <v>1941</v>
      </c>
      <c r="G41" t="s">
        <v>1942</v>
      </c>
      <c r="H41" t="s">
        <v>1943</v>
      </c>
      <c r="I41" t="s">
        <v>1944</v>
      </c>
      <c r="J41" t="s">
        <v>1945</v>
      </c>
      <c r="K41" t="s">
        <v>1946</v>
      </c>
      <c r="L41" t="s">
        <v>1947</v>
      </c>
      <c r="M41" t="s">
        <v>1637</v>
      </c>
      <c r="N41" t="s">
        <v>1571</v>
      </c>
      <c r="O41" t="s">
        <v>1678</v>
      </c>
      <c r="P41" t="s">
        <v>1573</v>
      </c>
      <c r="Q41" t="s">
        <v>1574</v>
      </c>
      <c r="R41">
        <v>43202</v>
      </c>
      <c r="S41" t="s">
        <v>1575</v>
      </c>
      <c r="T41">
        <v>2024</v>
      </c>
      <c r="U41" t="s">
        <v>1576</v>
      </c>
      <c r="W41">
        <v>4</v>
      </c>
      <c r="X41">
        <v>2023</v>
      </c>
      <c r="AB41" t="s">
        <v>1577</v>
      </c>
    </row>
    <row r="42" spans="1:28" x14ac:dyDescent="0.25">
      <c r="A42">
        <v>574</v>
      </c>
      <c r="B42" t="s">
        <v>1948</v>
      </c>
      <c r="C42" t="s">
        <v>1949</v>
      </c>
      <c r="D42" t="s">
        <v>1562</v>
      </c>
      <c r="E42">
        <v>830</v>
      </c>
      <c r="F42" t="s">
        <v>1950</v>
      </c>
      <c r="G42" t="s">
        <v>1951</v>
      </c>
      <c r="H42" t="s">
        <v>1952</v>
      </c>
      <c r="I42" t="s">
        <v>1953</v>
      </c>
      <c r="J42" t="s">
        <v>1954</v>
      </c>
      <c r="K42" t="s">
        <v>1955</v>
      </c>
      <c r="L42" t="s">
        <v>1956</v>
      </c>
      <c r="M42" t="s">
        <v>1957</v>
      </c>
      <c r="N42" t="s">
        <v>1571</v>
      </c>
      <c r="O42" t="s">
        <v>1572</v>
      </c>
      <c r="P42" t="s">
        <v>1573</v>
      </c>
      <c r="Q42" t="s">
        <v>1574</v>
      </c>
      <c r="R42">
        <v>32937</v>
      </c>
      <c r="S42" t="s">
        <v>1958</v>
      </c>
      <c r="T42">
        <v>2015</v>
      </c>
      <c r="U42" t="s">
        <v>1588</v>
      </c>
      <c r="V42">
        <v>2019</v>
      </c>
      <c r="W42">
        <v>3</v>
      </c>
      <c r="X42">
        <v>2023</v>
      </c>
      <c r="AB42" t="s">
        <v>1577</v>
      </c>
    </row>
    <row r="43" spans="1:28" x14ac:dyDescent="0.25">
      <c r="A43">
        <v>4</v>
      </c>
      <c r="B43" t="s">
        <v>1959</v>
      </c>
      <c r="C43" t="s">
        <v>1960</v>
      </c>
      <c r="D43" t="s">
        <v>1562</v>
      </c>
      <c r="E43">
        <v>4</v>
      </c>
      <c r="F43" t="s">
        <v>1961</v>
      </c>
      <c r="G43" t="s">
        <v>1962</v>
      </c>
      <c r="H43" t="s">
        <v>1963</v>
      </c>
      <c r="I43" t="s">
        <v>1964</v>
      </c>
      <c r="J43" t="s">
        <v>1965</v>
      </c>
      <c r="K43" t="s">
        <v>1966</v>
      </c>
      <c r="L43" t="s">
        <v>1967</v>
      </c>
      <c r="M43" t="s">
        <v>1968</v>
      </c>
      <c r="N43" t="s">
        <v>1571</v>
      </c>
      <c r="O43" t="s">
        <v>1572</v>
      </c>
      <c r="P43" t="s">
        <v>1573</v>
      </c>
      <c r="Q43" t="s">
        <v>1574</v>
      </c>
      <c r="R43">
        <v>22824</v>
      </c>
      <c r="S43" t="s">
        <v>1588</v>
      </c>
      <c r="T43">
        <v>2019</v>
      </c>
      <c r="U43" t="s">
        <v>1576</v>
      </c>
      <c r="W43">
        <v>4</v>
      </c>
      <c r="X43">
        <v>2023</v>
      </c>
      <c r="AB43" t="s">
        <v>1577</v>
      </c>
    </row>
    <row r="44" spans="1:28" x14ac:dyDescent="0.25">
      <c r="A44">
        <v>16116</v>
      </c>
      <c r="B44" t="s">
        <v>1969</v>
      </c>
      <c r="C44" t="s">
        <v>1970</v>
      </c>
      <c r="D44" t="s">
        <v>1562</v>
      </c>
      <c r="E44">
        <v>18759</v>
      </c>
      <c r="F44" t="s">
        <v>1971</v>
      </c>
      <c r="G44" t="s">
        <v>1972</v>
      </c>
      <c r="H44" t="s">
        <v>1973</v>
      </c>
      <c r="I44" t="s">
        <v>1974</v>
      </c>
      <c r="J44" t="s">
        <v>1975</v>
      </c>
      <c r="K44" t="s">
        <v>1976</v>
      </c>
      <c r="L44" t="s">
        <v>1977</v>
      </c>
      <c r="M44" t="s">
        <v>1647</v>
      </c>
      <c r="N44" t="s">
        <v>1571</v>
      </c>
      <c r="O44" t="s">
        <v>1572</v>
      </c>
      <c r="P44" t="s">
        <v>1573</v>
      </c>
      <c r="Q44" t="s">
        <v>1574</v>
      </c>
      <c r="R44">
        <v>41431</v>
      </c>
      <c r="S44" t="s">
        <v>1588</v>
      </c>
      <c r="T44">
        <v>2023</v>
      </c>
      <c r="U44" t="s">
        <v>1576</v>
      </c>
      <c r="W44">
        <v>4</v>
      </c>
      <c r="X44">
        <v>2023</v>
      </c>
      <c r="AB44" t="s">
        <v>1577</v>
      </c>
    </row>
    <row r="45" spans="1:28" x14ac:dyDescent="0.25">
      <c r="A45">
        <v>15439</v>
      </c>
      <c r="B45" t="s">
        <v>1978</v>
      </c>
      <c r="C45" t="s">
        <v>1979</v>
      </c>
      <c r="D45" t="s">
        <v>1562</v>
      </c>
      <c r="E45">
        <v>583</v>
      </c>
      <c r="F45" t="s">
        <v>1980</v>
      </c>
      <c r="G45" t="s">
        <v>1981</v>
      </c>
      <c r="H45" t="s">
        <v>1982</v>
      </c>
      <c r="I45" t="s">
        <v>1983</v>
      </c>
      <c r="J45" t="s">
        <v>1984</v>
      </c>
      <c r="K45" t="s">
        <v>1985</v>
      </c>
      <c r="L45" t="s">
        <v>1986</v>
      </c>
      <c r="M45" t="s">
        <v>1647</v>
      </c>
      <c r="N45" t="s">
        <v>1571</v>
      </c>
      <c r="O45" t="s">
        <v>1572</v>
      </c>
      <c r="P45" t="s">
        <v>1573</v>
      </c>
      <c r="Q45" t="s">
        <v>1574</v>
      </c>
      <c r="R45">
        <v>20081</v>
      </c>
      <c r="S45" t="s">
        <v>1575</v>
      </c>
      <c r="T45">
        <v>2017</v>
      </c>
      <c r="U45" t="s">
        <v>1599</v>
      </c>
      <c r="V45">
        <v>2013</v>
      </c>
      <c r="W45">
        <v>5</v>
      </c>
      <c r="X45">
        <v>2023</v>
      </c>
      <c r="AB45" t="s">
        <v>1577</v>
      </c>
    </row>
    <row r="46" spans="1:28" x14ac:dyDescent="0.25">
      <c r="A46">
        <v>17818</v>
      </c>
      <c r="B46" t="s">
        <v>1987</v>
      </c>
      <c r="C46" t="s">
        <v>1988</v>
      </c>
      <c r="D46" t="s">
        <v>1562</v>
      </c>
      <c r="E46">
        <v>25277</v>
      </c>
      <c r="F46" t="s">
        <v>1989</v>
      </c>
      <c r="G46" t="s">
        <v>1990</v>
      </c>
      <c r="H46" t="s">
        <v>1991</v>
      </c>
      <c r="I46" t="s">
        <v>1992</v>
      </c>
      <c r="J46" t="s">
        <v>1993</v>
      </c>
      <c r="K46" t="s">
        <v>1994</v>
      </c>
      <c r="L46" t="s">
        <v>1995</v>
      </c>
      <c r="M46" t="s">
        <v>1996</v>
      </c>
      <c r="N46" t="s">
        <v>1571</v>
      </c>
      <c r="O46" t="s">
        <v>1572</v>
      </c>
      <c r="P46" t="s">
        <v>1573</v>
      </c>
      <c r="Q46" t="s">
        <v>1574</v>
      </c>
      <c r="R46">
        <v>43202</v>
      </c>
      <c r="S46" t="s">
        <v>1575</v>
      </c>
      <c r="T46">
        <v>2024</v>
      </c>
      <c r="U46" t="s">
        <v>1576</v>
      </c>
      <c r="W46">
        <v>4</v>
      </c>
      <c r="X46">
        <v>2023</v>
      </c>
      <c r="AB46" t="s">
        <v>1577</v>
      </c>
    </row>
    <row r="47" spans="1:28" x14ac:dyDescent="0.25">
      <c r="A47">
        <v>15591</v>
      </c>
      <c r="B47" t="s">
        <v>1997</v>
      </c>
      <c r="C47" t="s">
        <v>1998</v>
      </c>
      <c r="D47" t="s">
        <v>1562</v>
      </c>
      <c r="E47">
        <v>573</v>
      </c>
      <c r="F47" t="s">
        <v>1999</v>
      </c>
      <c r="G47" t="s">
        <v>2000</v>
      </c>
      <c r="H47" t="s">
        <v>2001</v>
      </c>
      <c r="I47" t="s">
        <v>2002</v>
      </c>
      <c r="J47" t="s">
        <v>2003</v>
      </c>
      <c r="K47" t="s">
        <v>2004</v>
      </c>
      <c r="L47" t="s">
        <v>2005</v>
      </c>
      <c r="M47" t="s">
        <v>2006</v>
      </c>
      <c r="N47" t="s">
        <v>1571</v>
      </c>
      <c r="O47" t="s">
        <v>1572</v>
      </c>
      <c r="P47" t="s">
        <v>1573</v>
      </c>
      <c r="Q47" t="s">
        <v>1574</v>
      </c>
      <c r="R47">
        <v>22311</v>
      </c>
      <c r="S47" t="s">
        <v>1575</v>
      </c>
      <c r="T47">
        <v>2023</v>
      </c>
      <c r="U47" t="s">
        <v>1588</v>
      </c>
      <c r="V47">
        <v>2023</v>
      </c>
      <c r="W47">
        <v>4</v>
      </c>
      <c r="X47">
        <v>2023</v>
      </c>
      <c r="AB47" t="s">
        <v>1577</v>
      </c>
    </row>
    <row r="48" spans="1:28" x14ac:dyDescent="0.25">
      <c r="A48">
        <v>461</v>
      </c>
      <c r="B48" t="s">
        <v>2007</v>
      </c>
      <c r="C48" t="s">
        <v>2008</v>
      </c>
      <c r="D48" t="s">
        <v>1562</v>
      </c>
      <c r="E48">
        <v>693</v>
      </c>
      <c r="F48" t="s">
        <v>2009</v>
      </c>
      <c r="G48" t="s">
        <v>2010</v>
      </c>
      <c r="H48" t="s">
        <v>2011</v>
      </c>
      <c r="I48" t="s">
        <v>2012</v>
      </c>
      <c r="J48" t="s">
        <v>2013</v>
      </c>
      <c r="K48" t="s">
        <v>2014</v>
      </c>
      <c r="L48" t="s">
        <v>2015</v>
      </c>
      <c r="M48" t="s">
        <v>2016</v>
      </c>
      <c r="N48" t="s">
        <v>1571</v>
      </c>
      <c r="O48" t="s">
        <v>1572</v>
      </c>
      <c r="P48" t="s">
        <v>1573</v>
      </c>
      <c r="Q48" t="s">
        <v>1574</v>
      </c>
      <c r="R48">
        <v>25436</v>
      </c>
      <c r="S48" t="s">
        <v>1599</v>
      </c>
      <c r="T48">
        <v>2018</v>
      </c>
      <c r="U48" t="s">
        <v>1599</v>
      </c>
      <c r="V48">
        <v>2013</v>
      </c>
      <c r="W48">
        <v>4</v>
      </c>
      <c r="X48">
        <v>2023</v>
      </c>
      <c r="AB48" t="s">
        <v>1577</v>
      </c>
    </row>
    <row r="49" spans="1:28" x14ac:dyDescent="0.25">
      <c r="A49">
        <v>2497</v>
      </c>
      <c r="B49" t="s">
        <v>2017</v>
      </c>
      <c r="C49" t="s">
        <v>2018</v>
      </c>
      <c r="D49" t="s">
        <v>1562</v>
      </c>
      <c r="E49">
        <v>548</v>
      </c>
      <c r="F49" t="s">
        <v>2019</v>
      </c>
      <c r="G49" t="s">
        <v>2020</v>
      </c>
      <c r="H49" t="s">
        <v>2021</v>
      </c>
      <c r="I49" t="s">
        <v>2022</v>
      </c>
      <c r="J49" t="s">
        <v>2023</v>
      </c>
      <c r="K49" t="s">
        <v>2024</v>
      </c>
      <c r="L49" t="s">
        <v>2025</v>
      </c>
      <c r="M49" t="s">
        <v>2026</v>
      </c>
      <c r="N49" t="s">
        <v>1571</v>
      </c>
      <c r="O49" t="s">
        <v>1572</v>
      </c>
      <c r="P49" t="s">
        <v>1573</v>
      </c>
      <c r="Q49" t="s">
        <v>1574</v>
      </c>
      <c r="R49">
        <v>25500</v>
      </c>
      <c r="S49" t="s">
        <v>1588</v>
      </c>
      <c r="T49">
        <v>2013</v>
      </c>
      <c r="U49" t="s">
        <v>1588</v>
      </c>
      <c r="V49">
        <v>2014</v>
      </c>
      <c r="W49">
        <v>4</v>
      </c>
      <c r="X49">
        <v>2023</v>
      </c>
      <c r="AB49" t="s">
        <v>1577</v>
      </c>
    </row>
    <row r="50" spans="1:28" x14ac:dyDescent="0.25">
      <c r="A50">
        <v>18313</v>
      </c>
      <c r="B50" t="s">
        <v>2027</v>
      </c>
      <c r="C50" t="s">
        <v>2028</v>
      </c>
      <c r="D50" t="s">
        <v>1562</v>
      </c>
      <c r="E50">
        <v>29118</v>
      </c>
      <c r="F50" t="s">
        <v>2029</v>
      </c>
      <c r="G50" t="s">
        <v>2030</v>
      </c>
      <c r="H50" t="s">
        <v>2031</v>
      </c>
      <c r="I50" t="s">
        <v>2032</v>
      </c>
      <c r="J50" t="s">
        <v>2033</v>
      </c>
      <c r="K50" t="s">
        <v>2034</v>
      </c>
      <c r="L50" t="s">
        <v>2035</v>
      </c>
      <c r="M50" t="s">
        <v>1628</v>
      </c>
      <c r="N50" t="s">
        <v>1571</v>
      </c>
      <c r="O50" t="s">
        <v>1572</v>
      </c>
      <c r="P50" t="s">
        <v>1573</v>
      </c>
      <c r="Q50" t="s">
        <v>1574</v>
      </c>
      <c r="R50">
        <v>43655</v>
      </c>
      <c r="S50" t="s">
        <v>1599</v>
      </c>
      <c r="T50">
        <v>2024</v>
      </c>
      <c r="U50" t="s">
        <v>1588</v>
      </c>
      <c r="V50">
        <v>2019</v>
      </c>
      <c r="W50">
        <v>4</v>
      </c>
      <c r="X50">
        <v>2022</v>
      </c>
      <c r="AB50" t="s">
        <v>1577</v>
      </c>
    </row>
    <row r="51" spans="1:28" x14ac:dyDescent="0.25">
      <c r="A51">
        <v>16078</v>
      </c>
      <c r="B51" t="s">
        <v>2036</v>
      </c>
      <c r="C51" t="s">
        <v>2037</v>
      </c>
      <c r="D51" t="s">
        <v>1562</v>
      </c>
      <c r="E51">
        <v>18506</v>
      </c>
      <c r="F51" t="s">
        <v>2038</v>
      </c>
      <c r="G51" t="s">
        <v>2039</v>
      </c>
      <c r="H51" t="s">
        <v>2040</v>
      </c>
      <c r="I51" t="s">
        <v>2041</v>
      </c>
      <c r="J51" t="s">
        <v>2042</v>
      </c>
      <c r="K51" t="s">
        <v>2043</v>
      </c>
      <c r="L51" t="s">
        <v>2044</v>
      </c>
      <c r="M51" t="s">
        <v>1667</v>
      </c>
      <c r="N51" t="s">
        <v>1571</v>
      </c>
      <c r="O51" t="s">
        <v>1572</v>
      </c>
      <c r="P51" t="s">
        <v>1573</v>
      </c>
      <c r="Q51" t="s">
        <v>1574</v>
      </c>
      <c r="R51">
        <v>41431</v>
      </c>
      <c r="S51" t="s">
        <v>1575</v>
      </c>
      <c r="T51">
        <v>2023</v>
      </c>
      <c r="U51" t="s">
        <v>1576</v>
      </c>
      <c r="W51">
        <v>4</v>
      </c>
      <c r="X51">
        <v>2023</v>
      </c>
      <c r="AB51" t="s">
        <v>1577</v>
      </c>
    </row>
    <row r="52" spans="1:28" x14ac:dyDescent="0.25">
      <c r="A52">
        <v>14677</v>
      </c>
      <c r="B52" t="s">
        <v>2045</v>
      </c>
      <c r="C52" t="s">
        <v>2046</v>
      </c>
      <c r="D52" t="s">
        <v>1562</v>
      </c>
      <c r="E52">
        <v>15059</v>
      </c>
      <c r="F52" t="s">
        <v>2047</v>
      </c>
      <c r="G52" t="s">
        <v>2048</v>
      </c>
      <c r="H52" t="s">
        <v>2049</v>
      </c>
      <c r="I52" t="s">
        <v>2050</v>
      </c>
      <c r="J52" t="s">
        <v>2051</v>
      </c>
      <c r="K52" t="s">
        <v>2052</v>
      </c>
      <c r="L52" t="s">
        <v>2053</v>
      </c>
      <c r="M52" t="s">
        <v>2054</v>
      </c>
      <c r="N52" t="s">
        <v>1571</v>
      </c>
      <c r="O52" t="s">
        <v>1572</v>
      </c>
      <c r="P52" t="s">
        <v>1573</v>
      </c>
      <c r="Q52" t="s">
        <v>1574</v>
      </c>
      <c r="R52">
        <v>40123</v>
      </c>
      <c r="S52" t="s">
        <v>1588</v>
      </c>
      <c r="T52">
        <v>2016</v>
      </c>
      <c r="U52" t="s">
        <v>1599</v>
      </c>
      <c r="V52">
        <v>2023</v>
      </c>
      <c r="W52">
        <v>4</v>
      </c>
      <c r="X52">
        <v>2023</v>
      </c>
      <c r="AB52" t="s">
        <v>1577</v>
      </c>
    </row>
    <row r="53" spans="1:28" x14ac:dyDescent="0.25">
      <c r="A53">
        <v>15509</v>
      </c>
      <c r="B53" t="s">
        <v>2055</v>
      </c>
      <c r="C53" t="s">
        <v>2056</v>
      </c>
      <c r="D53" t="s">
        <v>1562</v>
      </c>
      <c r="E53">
        <v>569</v>
      </c>
      <c r="F53" t="s">
        <v>2057</v>
      </c>
      <c r="G53" t="s">
        <v>2058</v>
      </c>
      <c r="H53" t="s">
        <v>2059</v>
      </c>
      <c r="I53" t="s">
        <v>2060</v>
      </c>
      <c r="J53" t="s">
        <v>2061</v>
      </c>
      <c r="K53" t="s">
        <v>2062</v>
      </c>
      <c r="L53" t="s">
        <v>2063</v>
      </c>
      <c r="M53" t="s">
        <v>2054</v>
      </c>
      <c r="N53" t="s">
        <v>1571</v>
      </c>
      <c r="O53" t="s">
        <v>1572</v>
      </c>
      <c r="P53" t="s">
        <v>1573</v>
      </c>
      <c r="Q53" t="s">
        <v>1574</v>
      </c>
      <c r="R53">
        <v>21003</v>
      </c>
      <c r="S53" t="s">
        <v>1588</v>
      </c>
      <c r="T53">
        <v>2014</v>
      </c>
      <c r="U53" t="s">
        <v>1599</v>
      </c>
      <c r="V53">
        <v>2013</v>
      </c>
      <c r="W53">
        <v>4</v>
      </c>
      <c r="X53">
        <v>2023</v>
      </c>
      <c r="AB53" t="s">
        <v>1577</v>
      </c>
    </row>
    <row r="54" spans="1:28" x14ac:dyDescent="0.25">
      <c r="A54">
        <v>15595</v>
      </c>
      <c r="B54" t="s">
        <v>2064</v>
      </c>
      <c r="C54" t="s">
        <v>2065</v>
      </c>
      <c r="D54" t="s">
        <v>1562</v>
      </c>
      <c r="E54">
        <v>571</v>
      </c>
      <c r="F54" t="s">
        <v>2066</v>
      </c>
      <c r="G54" t="s">
        <v>2067</v>
      </c>
      <c r="H54" t="s">
        <v>2068</v>
      </c>
      <c r="I54" t="s">
        <v>2069</v>
      </c>
      <c r="J54" t="s">
        <v>2070</v>
      </c>
      <c r="K54" t="s">
        <v>2071</v>
      </c>
      <c r="L54" t="s">
        <v>2072</v>
      </c>
      <c r="M54" t="s">
        <v>1688</v>
      </c>
      <c r="N54" t="s">
        <v>1571</v>
      </c>
      <c r="O54" t="s">
        <v>1572</v>
      </c>
      <c r="P54" t="s">
        <v>1573</v>
      </c>
      <c r="Q54" t="s">
        <v>1574</v>
      </c>
      <c r="R54">
        <v>16961</v>
      </c>
      <c r="S54" t="s">
        <v>1588</v>
      </c>
      <c r="T54">
        <v>2014</v>
      </c>
      <c r="U54" t="s">
        <v>1599</v>
      </c>
      <c r="V54">
        <v>2013</v>
      </c>
      <c r="W54">
        <v>5</v>
      </c>
      <c r="X54">
        <v>2023</v>
      </c>
      <c r="AB54" t="s">
        <v>1577</v>
      </c>
    </row>
    <row r="55" spans="1:28" x14ac:dyDescent="0.25">
      <c r="A55">
        <v>14054</v>
      </c>
      <c r="B55" t="s">
        <v>2073</v>
      </c>
      <c r="C55" t="s">
        <v>2074</v>
      </c>
      <c r="D55" t="s">
        <v>1562</v>
      </c>
      <c r="E55">
        <v>5</v>
      </c>
      <c r="F55" t="s">
        <v>2075</v>
      </c>
      <c r="G55" t="s">
        <v>2076</v>
      </c>
      <c r="H55" t="s">
        <v>2077</v>
      </c>
      <c r="I55" t="s">
        <v>2078</v>
      </c>
      <c r="J55" t="s">
        <v>2079</v>
      </c>
      <c r="K55" t="s">
        <v>2080</v>
      </c>
      <c r="L55" t="s">
        <v>2081</v>
      </c>
      <c r="M55" t="s">
        <v>1996</v>
      </c>
      <c r="N55" t="s">
        <v>1571</v>
      </c>
      <c r="O55" t="s">
        <v>1572</v>
      </c>
      <c r="P55" t="s">
        <v>1573</v>
      </c>
      <c r="Q55" t="s">
        <v>1574</v>
      </c>
      <c r="R55">
        <v>16802</v>
      </c>
      <c r="S55" t="s">
        <v>1575</v>
      </c>
      <c r="T55">
        <v>2023</v>
      </c>
      <c r="U55" t="s">
        <v>1588</v>
      </c>
      <c r="V55">
        <v>2019</v>
      </c>
      <c r="W55">
        <v>4</v>
      </c>
      <c r="X55">
        <v>2023</v>
      </c>
      <c r="AB55" t="s">
        <v>1577</v>
      </c>
    </row>
    <row r="56" spans="1:28" x14ac:dyDescent="0.25">
      <c r="A56">
        <v>9114</v>
      </c>
      <c r="B56" t="s">
        <v>2082</v>
      </c>
      <c r="C56" t="s">
        <v>2083</v>
      </c>
      <c r="D56" t="s">
        <v>1562</v>
      </c>
      <c r="E56">
        <v>4503</v>
      </c>
      <c r="F56" t="s">
        <v>2084</v>
      </c>
      <c r="G56" t="s">
        <v>2085</v>
      </c>
      <c r="H56" t="s">
        <v>2086</v>
      </c>
      <c r="I56" t="s">
        <v>2087</v>
      </c>
      <c r="J56" t="s">
        <v>2088</v>
      </c>
      <c r="K56" t="s">
        <v>2089</v>
      </c>
      <c r="L56" t="s">
        <v>2090</v>
      </c>
      <c r="M56" t="s">
        <v>1667</v>
      </c>
      <c r="N56" t="s">
        <v>1571</v>
      </c>
      <c r="O56" t="s">
        <v>1572</v>
      </c>
      <c r="P56" t="s">
        <v>1573</v>
      </c>
      <c r="Q56" t="s">
        <v>1574</v>
      </c>
      <c r="R56">
        <v>38565</v>
      </c>
      <c r="S56" t="s">
        <v>1588</v>
      </c>
      <c r="T56">
        <v>2016</v>
      </c>
      <c r="U56" t="s">
        <v>1588</v>
      </c>
      <c r="V56">
        <v>2022</v>
      </c>
      <c r="W56">
        <v>4</v>
      </c>
      <c r="X56">
        <v>2023</v>
      </c>
      <c r="AB56" t="s">
        <v>1577</v>
      </c>
    </row>
    <row r="57" spans="1:28" x14ac:dyDescent="0.25">
      <c r="A57">
        <v>15536</v>
      </c>
      <c r="B57" t="s">
        <v>2091</v>
      </c>
      <c r="C57" t="s">
        <v>2092</v>
      </c>
      <c r="D57" t="s">
        <v>1562</v>
      </c>
      <c r="E57">
        <v>586</v>
      </c>
      <c r="F57" t="s">
        <v>2093</v>
      </c>
      <c r="G57" t="s">
        <v>2094</v>
      </c>
      <c r="H57" t="s">
        <v>2095</v>
      </c>
      <c r="I57" t="s">
        <v>2096</v>
      </c>
      <c r="J57" t="s">
        <v>2097</v>
      </c>
      <c r="K57" t="s">
        <v>2098</v>
      </c>
      <c r="L57" t="s">
        <v>2015</v>
      </c>
      <c r="M57" t="s">
        <v>2016</v>
      </c>
      <c r="N57" t="s">
        <v>1571</v>
      </c>
      <c r="O57" t="s">
        <v>1572</v>
      </c>
      <c r="P57" t="s">
        <v>1573</v>
      </c>
      <c r="Q57" t="s">
        <v>1574</v>
      </c>
      <c r="R57">
        <v>7556</v>
      </c>
      <c r="S57" t="s">
        <v>1575</v>
      </c>
      <c r="T57">
        <v>2011</v>
      </c>
      <c r="U57" t="s">
        <v>1588</v>
      </c>
      <c r="V57">
        <v>2016</v>
      </c>
      <c r="W57">
        <v>5</v>
      </c>
      <c r="X57">
        <v>2023</v>
      </c>
      <c r="AB57" t="s">
        <v>1577</v>
      </c>
    </row>
    <row r="58" spans="1:28" x14ac:dyDescent="0.25">
      <c r="A58">
        <v>15596</v>
      </c>
      <c r="B58" t="s">
        <v>2099</v>
      </c>
      <c r="C58" t="s">
        <v>2100</v>
      </c>
      <c r="D58" t="s">
        <v>1562</v>
      </c>
      <c r="E58">
        <v>12</v>
      </c>
      <c r="F58" t="s">
        <v>2101</v>
      </c>
      <c r="G58" t="s">
        <v>2102</v>
      </c>
      <c r="H58" t="s">
        <v>2103</v>
      </c>
      <c r="I58" t="s">
        <v>2104</v>
      </c>
      <c r="J58" t="s">
        <v>2105</v>
      </c>
      <c r="K58" t="s">
        <v>2106</v>
      </c>
      <c r="L58" t="s">
        <v>2107</v>
      </c>
      <c r="M58" t="s">
        <v>1587</v>
      </c>
      <c r="N58" t="s">
        <v>1571</v>
      </c>
      <c r="O58" t="s">
        <v>1572</v>
      </c>
      <c r="P58" t="s">
        <v>1573</v>
      </c>
      <c r="Q58" t="s">
        <v>1574</v>
      </c>
      <c r="R58">
        <v>25436</v>
      </c>
      <c r="S58" t="s">
        <v>1575</v>
      </c>
      <c r="T58">
        <v>2023</v>
      </c>
      <c r="U58" t="s">
        <v>1575</v>
      </c>
      <c r="V58">
        <v>2019</v>
      </c>
      <c r="W58">
        <v>4</v>
      </c>
      <c r="X58">
        <v>2023</v>
      </c>
      <c r="AB58" t="s">
        <v>1577</v>
      </c>
    </row>
    <row r="59" spans="1:28" x14ac:dyDescent="0.25">
      <c r="A59">
        <v>13401</v>
      </c>
      <c r="B59" t="s">
        <v>2108</v>
      </c>
      <c r="C59" t="s">
        <v>2109</v>
      </c>
      <c r="D59" t="s">
        <v>1562</v>
      </c>
      <c r="E59">
        <v>570</v>
      </c>
      <c r="F59" t="s">
        <v>2110</v>
      </c>
      <c r="G59" t="s">
        <v>2111</v>
      </c>
      <c r="H59" t="s">
        <v>2112</v>
      </c>
      <c r="I59" t="s">
        <v>2113</v>
      </c>
      <c r="J59" t="s">
        <v>2114</v>
      </c>
      <c r="K59" t="s">
        <v>2115</v>
      </c>
      <c r="L59" t="s">
        <v>2116</v>
      </c>
      <c r="M59" t="s">
        <v>2117</v>
      </c>
      <c r="N59" t="s">
        <v>1571</v>
      </c>
      <c r="O59" t="s">
        <v>1572</v>
      </c>
      <c r="P59" t="s">
        <v>1573</v>
      </c>
      <c r="Q59" t="s">
        <v>1574</v>
      </c>
      <c r="R59">
        <v>22271</v>
      </c>
      <c r="S59" t="s">
        <v>1575</v>
      </c>
      <c r="T59">
        <v>2024</v>
      </c>
      <c r="U59" t="s">
        <v>1576</v>
      </c>
      <c r="W59">
        <v>5</v>
      </c>
      <c r="X59">
        <v>2023</v>
      </c>
      <c r="AB59" t="s">
        <v>1577</v>
      </c>
    </row>
    <row r="60" spans="1:28" x14ac:dyDescent="0.25">
      <c r="A60">
        <v>13482</v>
      </c>
      <c r="B60" t="s">
        <v>2118</v>
      </c>
      <c r="C60" t="s">
        <v>2119</v>
      </c>
      <c r="D60" t="s">
        <v>1562</v>
      </c>
      <c r="E60">
        <v>581</v>
      </c>
      <c r="F60" t="s">
        <v>2120</v>
      </c>
      <c r="G60" t="s">
        <v>2121</v>
      </c>
      <c r="H60" t="s">
        <v>2122</v>
      </c>
      <c r="I60" t="s">
        <v>2123</v>
      </c>
      <c r="J60" t="s">
        <v>2124</v>
      </c>
      <c r="K60" t="s">
        <v>2125</v>
      </c>
      <c r="L60" t="s">
        <v>1586</v>
      </c>
      <c r="M60" t="s">
        <v>1587</v>
      </c>
      <c r="N60" t="s">
        <v>1571</v>
      </c>
      <c r="O60" t="s">
        <v>1572</v>
      </c>
      <c r="P60" t="s">
        <v>1573</v>
      </c>
      <c r="Q60" t="s">
        <v>1574</v>
      </c>
      <c r="R60">
        <v>12751</v>
      </c>
      <c r="S60" t="s">
        <v>1588</v>
      </c>
      <c r="T60">
        <v>2012</v>
      </c>
      <c r="U60" t="s">
        <v>1588</v>
      </c>
      <c r="V60">
        <v>2014</v>
      </c>
      <c r="W60">
        <v>5</v>
      </c>
      <c r="X60">
        <v>2023</v>
      </c>
      <c r="AB60" t="s">
        <v>1577</v>
      </c>
    </row>
    <row r="61" spans="1:28" x14ac:dyDescent="0.25">
      <c r="A61">
        <v>16126</v>
      </c>
      <c r="B61" t="s">
        <v>2126</v>
      </c>
      <c r="C61" t="s">
        <v>2127</v>
      </c>
      <c r="D61" t="s">
        <v>1562</v>
      </c>
      <c r="E61">
        <v>18812</v>
      </c>
      <c r="F61" t="s">
        <v>2128</v>
      </c>
      <c r="G61" t="s">
        <v>2129</v>
      </c>
      <c r="H61" t="s">
        <v>2130</v>
      </c>
      <c r="I61" t="s">
        <v>2131</v>
      </c>
      <c r="J61" t="s">
        <v>2132</v>
      </c>
      <c r="K61" t="s">
        <v>2133</v>
      </c>
      <c r="L61" t="s">
        <v>2134</v>
      </c>
      <c r="M61" t="s">
        <v>1667</v>
      </c>
      <c r="N61" t="s">
        <v>1571</v>
      </c>
      <c r="O61" t="s">
        <v>1572</v>
      </c>
      <c r="P61" t="s">
        <v>1573</v>
      </c>
      <c r="Q61" t="s">
        <v>1574</v>
      </c>
      <c r="R61">
        <v>41431</v>
      </c>
      <c r="S61" t="s">
        <v>1575</v>
      </c>
      <c r="T61">
        <v>2023</v>
      </c>
      <c r="U61" t="s">
        <v>1576</v>
      </c>
      <c r="W61">
        <v>4</v>
      </c>
      <c r="X61">
        <v>2023</v>
      </c>
      <c r="AB61" t="s">
        <v>1577</v>
      </c>
    </row>
    <row r="62" spans="1:28" x14ac:dyDescent="0.25">
      <c r="A62">
        <v>16047</v>
      </c>
      <c r="B62" t="s">
        <v>2135</v>
      </c>
      <c r="C62" t="s">
        <v>2136</v>
      </c>
      <c r="D62" t="s">
        <v>1562</v>
      </c>
      <c r="E62">
        <v>18440</v>
      </c>
      <c r="F62" t="s">
        <v>2137</v>
      </c>
      <c r="G62" t="s">
        <v>2138</v>
      </c>
      <c r="H62" t="s">
        <v>2139</v>
      </c>
      <c r="I62" t="s">
        <v>2140</v>
      </c>
      <c r="J62" t="s">
        <v>2141</v>
      </c>
      <c r="K62" t="s">
        <v>2142</v>
      </c>
      <c r="L62" t="s">
        <v>2143</v>
      </c>
      <c r="M62" t="s">
        <v>2054</v>
      </c>
      <c r="N62" t="s">
        <v>1571</v>
      </c>
      <c r="O62" t="s">
        <v>1572</v>
      </c>
      <c r="P62" t="s">
        <v>1573</v>
      </c>
      <c r="Q62" t="s">
        <v>1574</v>
      </c>
      <c r="R62">
        <v>41431</v>
      </c>
      <c r="S62" t="s">
        <v>1588</v>
      </c>
      <c r="T62">
        <v>2019</v>
      </c>
      <c r="U62" t="s">
        <v>1576</v>
      </c>
      <c r="W62">
        <v>4</v>
      </c>
      <c r="X62">
        <v>2023</v>
      </c>
      <c r="AB62" t="s">
        <v>1577</v>
      </c>
    </row>
    <row r="63" spans="1:28" x14ac:dyDescent="0.25">
      <c r="A63">
        <v>9088</v>
      </c>
      <c r="B63" t="s">
        <v>2144</v>
      </c>
      <c r="C63" t="s">
        <v>2145</v>
      </c>
      <c r="D63" t="s">
        <v>1562</v>
      </c>
      <c r="E63">
        <v>596</v>
      </c>
      <c r="F63" t="s">
        <v>2146</v>
      </c>
      <c r="G63" t="s">
        <v>2147</v>
      </c>
      <c r="H63" t="s">
        <v>2148</v>
      </c>
      <c r="I63" t="s">
        <v>2149</v>
      </c>
      <c r="J63" t="s">
        <v>2150</v>
      </c>
      <c r="K63" t="s">
        <v>2151</v>
      </c>
      <c r="L63" t="s">
        <v>2152</v>
      </c>
      <c r="M63" t="s">
        <v>1718</v>
      </c>
      <c r="N63" t="s">
        <v>1571</v>
      </c>
      <c r="O63" t="s">
        <v>1572</v>
      </c>
      <c r="P63" t="s">
        <v>1573</v>
      </c>
      <c r="Q63" t="s">
        <v>1574</v>
      </c>
      <c r="R63">
        <v>19633</v>
      </c>
      <c r="S63" t="s">
        <v>1588</v>
      </c>
      <c r="T63">
        <v>2023</v>
      </c>
      <c r="U63" t="s">
        <v>1576</v>
      </c>
      <c r="W63">
        <v>4</v>
      </c>
      <c r="X63">
        <v>2023</v>
      </c>
      <c r="AB63" t="s">
        <v>1577</v>
      </c>
    </row>
    <row r="64" spans="1:28" x14ac:dyDescent="0.25">
      <c r="A64">
        <v>15446</v>
      </c>
      <c r="B64" t="s">
        <v>2153</v>
      </c>
      <c r="C64" t="s">
        <v>2154</v>
      </c>
      <c r="D64" t="s">
        <v>1562</v>
      </c>
      <c r="E64">
        <v>597</v>
      </c>
      <c r="F64" t="s">
        <v>2155</v>
      </c>
      <c r="G64" t="s">
        <v>2156</v>
      </c>
      <c r="H64" t="s">
        <v>2157</v>
      </c>
      <c r="I64" t="s">
        <v>2158</v>
      </c>
      <c r="J64" t="s">
        <v>2159</v>
      </c>
      <c r="K64" t="s">
        <v>2160</v>
      </c>
      <c r="L64" t="s">
        <v>2161</v>
      </c>
      <c r="M64" t="s">
        <v>1718</v>
      </c>
      <c r="N64" t="s">
        <v>1571</v>
      </c>
      <c r="O64" t="s">
        <v>1572</v>
      </c>
      <c r="P64" t="s">
        <v>1573</v>
      </c>
      <c r="Q64" t="s">
        <v>1574</v>
      </c>
      <c r="R64">
        <v>19813</v>
      </c>
      <c r="S64" t="s">
        <v>1575</v>
      </c>
      <c r="T64">
        <v>2025</v>
      </c>
      <c r="U64" t="s">
        <v>1588</v>
      </c>
      <c r="V64">
        <v>2016</v>
      </c>
      <c r="W64">
        <v>4</v>
      </c>
      <c r="X64">
        <v>2023</v>
      </c>
      <c r="AB64" t="s">
        <v>1577</v>
      </c>
    </row>
    <row r="65" spans="1:28" x14ac:dyDescent="0.25">
      <c r="A65">
        <v>15589</v>
      </c>
      <c r="B65" t="s">
        <v>2162</v>
      </c>
      <c r="C65" t="s">
        <v>2163</v>
      </c>
      <c r="D65" t="s">
        <v>1562</v>
      </c>
      <c r="E65">
        <v>572</v>
      </c>
      <c r="F65" t="s">
        <v>2164</v>
      </c>
      <c r="G65" t="s">
        <v>2165</v>
      </c>
      <c r="H65" t="s">
        <v>2166</v>
      </c>
      <c r="I65" t="s">
        <v>2167</v>
      </c>
      <c r="J65" t="s">
        <v>2168</v>
      </c>
      <c r="K65" t="s">
        <v>2169</v>
      </c>
      <c r="L65" t="s">
        <v>2170</v>
      </c>
      <c r="M65" t="s">
        <v>2016</v>
      </c>
      <c r="N65" t="s">
        <v>1571</v>
      </c>
      <c r="O65" t="s">
        <v>1572</v>
      </c>
      <c r="P65" t="s">
        <v>1573</v>
      </c>
      <c r="Q65" t="s">
        <v>1574</v>
      </c>
      <c r="R65">
        <v>22270</v>
      </c>
      <c r="S65" t="s">
        <v>1575</v>
      </c>
      <c r="T65">
        <v>2025</v>
      </c>
      <c r="U65" t="s">
        <v>1588</v>
      </c>
      <c r="V65">
        <v>2016</v>
      </c>
      <c r="W65">
        <v>4</v>
      </c>
      <c r="X65">
        <v>2023</v>
      </c>
      <c r="AB65" t="s">
        <v>1577</v>
      </c>
    </row>
    <row r="66" spans="1:28" x14ac:dyDescent="0.25">
      <c r="A66">
        <v>16350</v>
      </c>
      <c r="B66" t="s">
        <v>2171</v>
      </c>
      <c r="C66" t="s">
        <v>2172</v>
      </c>
      <c r="D66" t="s">
        <v>1562</v>
      </c>
      <c r="E66">
        <v>590</v>
      </c>
      <c r="F66" t="s">
        <v>2173</v>
      </c>
      <c r="G66" t="s">
        <v>2174</v>
      </c>
      <c r="H66" t="s">
        <v>2175</v>
      </c>
      <c r="I66" t="s">
        <v>2176</v>
      </c>
      <c r="J66" t="s">
        <v>2177</v>
      </c>
      <c r="K66" t="s">
        <v>2178</v>
      </c>
      <c r="L66" t="s">
        <v>2063</v>
      </c>
      <c r="M66" t="s">
        <v>2054</v>
      </c>
      <c r="N66" t="s">
        <v>1571</v>
      </c>
      <c r="O66" t="s">
        <v>1572</v>
      </c>
      <c r="P66" t="s">
        <v>1573</v>
      </c>
      <c r="Q66" t="s">
        <v>1574</v>
      </c>
      <c r="R66">
        <v>16776</v>
      </c>
      <c r="S66" t="s">
        <v>1575</v>
      </c>
      <c r="T66">
        <v>2023</v>
      </c>
      <c r="U66" t="s">
        <v>1588</v>
      </c>
      <c r="V66">
        <v>2015</v>
      </c>
      <c r="W66">
        <v>4</v>
      </c>
      <c r="X66">
        <v>2023</v>
      </c>
      <c r="AB66" t="s">
        <v>1577</v>
      </c>
    </row>
    <row r="67" spans="1:28" x14ac:dyDescent="0.25">
      <c r="A67">
        <v>15599</v>
      </c>
      <c r="B67" t="s">
        <v>2179</v>
      </c>
      <c r="C67" t="s">
        <v>2180</v>
      </c>
      <c r="D67" t="s">
        <v>1562</v>
      </c>
      <c r="E67">
        <v>587</v>
      </c>
      <c r="F67" t="s">
        <v>2181</v>
      </c>
      <c r="G67" t="s">
        <v>2182</v>
      </c>
      <c r="H67" t="s">
        <v>2183</v>
      </c>
      <c r="I67" t="s">
        <v>2184</v>
      </c>
      <c r="J67" t="s">
        <v>2185</v>
      </c>
      <c r="K67" t="s">
        <v>2186</v>
      </c>
      <c r="L67" t="s">
        <v>1836</v>
      </c>
      <c r="M67" t="s">
        <v>1637</v>
      </c>
      <c r="N67" t="s">
        <v>1571</v>
      </c>
      <c r="O67" t="s">
        <v>1572</v>
      </c>
      <c r="P67" t="s">
        <v>1573</v>
      </c>
      <c r="Q67" t="s">
        <v>1574</v>
      </c>
      <c r="R67">
        <v>17372</v>
      </c>
      <c r="S67" t="s">
        <v>1575</v>
      </c>
      <c r="T67">
        <v>2024</v>
      </c>
      <c r="U67" t="s">
        <v>1575</v>
      </c>
      <c r="V67">
        <v>2023</v>
      </c>
      <c r="W67">
        <v>4</v>
      </c>
      <c r="X67">
        <v>2023</v>
      </c>
      <c r="AB67" t="s">
        <v>1577</v>
      </c>
    </row>
    <row r="68" spans="1:28" x14ac:dyDescent="0.25">
      <c r="A68">
        <v>9053</v>
      </c>
      <c r="B68" t="s">
        <v>2187</v>
      </c>
      <c r="C68" t="s">
        <v>2188</v>
      </c>
      <c r="D68" t="s">
        <v>1562</v>
      </c>
      <c r="E68">
        <v>574</v>
      </c>
      <c r="F68" t="s">
        <v>2189</v>
      </c>
      <c r="G68" t="s">
        <v>2190</v>
      </c>
      <c r="H68" t="s">
        <v>2191</v>
      </c>
      <c r="J68" t="s">
        <v>2192</v>
      </c>
      <c r="K68" t="s">
        <v>2193</v>
      </c>
      <c r="L68" t="s">
        <v>2194</v>
      </c>
      <c r="M68" t="s">
        <v>2016</v>
      </c>
      <c r="N68" t="s">
        <v>1571</v>
      </c>
      <c r="O68" t="s">
        <v>1572</v>
      </c>
      <c r="P68" t="s">
        <v>1573</v>
      </c>
      <c r="Q68" t="s">
        <v>1574</v>
      </c>
      <c r="R68">
        <v>3946</v>
      </c>
      <c r="S68" t="s">
        <v>1575</v>
      </c>
      <c r="T68">
        <v>2023</v>
      </c>
      <c r="U68" t="s">
        <v>1599</v>
      </c>
      <c r="V68">
        <v>2013</v>
      </c>
      <c r="W68">
        <v>4</v>
      </c>
      <c r="X68">
        <v>2023</v>
      </c>
      <c r="AB68" t="s">
        <v>1577</v>
      </c>
    </row>
    <row r="69" spans="1:28" x14ac:dyDescent="0.25">
      <c r="A69">
        <v>15945</v>
      </c>
      <c r="B69" t="s">
        <v>2195</v>
      </c>
      <c r="C69" t="s">
        <v>2196</v>
      </c>
      <c r="D69" t="s">
        <v>1562</v>
      </c>
      <c r="E69">
        <v>589</v>
      </c>
      <c r="F69" t="s">
        <v>2197</v>
      </c>
      <c r="G69" t="s">
        <v>2198</v>
      </c>
      <c r="H69" t="s">
        <v>2199</v>
      </c>
      <c r="I69" t="s">
        <v>2200</v>
      </c>
      <c r="J69" t="s">
        <v>2201</v>
      </c>
      <c r="K69" t="s">
        <v>2202</v>
      </c>
      <c r="L69" t="s">
        <v>2203</v>
      </c>
      <c r="M69" t="s">
        <v>2117</v>
      </c>
      <c r="N69" t="s">
        <v>1571</v>
      </c>
      <c r="O69" t="s">
        <v>1572</v>
      </c>
      <c r="P69" t="s">
        <v>1573</v>
      </c>
      <c r="Q69" t="s">
        <v>1574</v>
      </c>
      <c r="R69">
        <v>24580</v>
      </c>
      <c r="S69" t="s">
        <v>1588</v>
      </c>
      <c r="T69">
        <v>2013</v>
      </c>
      <c r="U69" t="s">
        <v>1575</v>
      </c>
      <c r="V69">
        <v>2019</v>
      </c>
      <c r="W69">
        <v>4</v>
      </c>
      <c r="X69">
        <v>2023</v>
      </c>
      <c r="AB69" t="s">
        <v>1577</v>
      </c>
    </row>
    <row r="70" spans="1:28" x14ac:dyDescent="0.25">
      <c r="A70">
        <v>9052</v>
      </c>
      <c r="B70" t="s">
        <v>2204</v>
      </c>
      <c r="C70" t="s">
        <v>2205</v>
      </c>
      <c r="D70" t="s">
        <v>1562</v>
      </c>
      <c r="E70">
        <v>588</v>
      </c>
      <c r="F70" t="s">
        <v>2206</v>
      </c>
      <c r="G70" t="s">
        <v>2207</v>
      </c>
      <c r="H70" t="s">
        <v>2208</v>
      </c>
      <c r="I70" t="s">
        <v>2209</v>
      </c>
      <c r="J70" t="s">
        <v>2210</v>
      </c>
      <c r="K70" t="s">
        <v>2211</v>
      </c>
      <c r="L70" t="s">
        <v>2072</v>
      </c>
      <c r="M70" t="s">
        <v>1688</v>
      </c>
      <c r="N70" t="s">
        <v>1571</v>
      </c>
      <c r="O70" t="s">
        <v>1572</v>
      </c>
      <c r="P70" t="s">
        <v>1573</v>
      </c>
      <c r="Q70" t="s">
        <v>1574</v>
      </c>
      <c r="R70">
        <v>28675</v>
      </c>
      <c r="S70" t="s">
        <v>1575</v>
      </c>
      <c r="T70">
        <v>2024</v>
      </c>
      <c r="U70" t="s">
        <v>1575</v>
      </c>
      <c r="V70">
        <v>2019</v>
      </c>
      <c r="W70">
        <v>4</v>
      </c>
      <c r="X70">
        <v>2023</v>
      </c>
      <c r="AB70" t="s">
        <v>1577</v>
      </c>
    </row>
  </sheetData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01CCF3-2F84-4976-81A5-C270CEAB7D5D}">
  <dimension ref="A1:G1405"/>
  <sheetViews>
    <sheetView workbookViewId="0">
      <selection activeCell="K13" sqref="K13"/>
    </sheetView>
  </sheetViews>
  <sheetFormatPr defaultRowHeight="15" x14ac:dyDescent="0.25"/>
  <cols>
    <col min="1" max="1" width="11.140625" bestFit="1" customWidth="1"/>
    <col min="2" max="2" width="28.42578125" bestFit="1" customWidth="1"/>
    <col min="3" max="3" width="79.7109375" bestFit="1" customWidth="1"/>
    <col min="4" max="4" width="19.140625" bestFit="1" customWidth="1"/>
    <col min="5" max="5" width="17.28515625" bestFit="1" customWidth="1"/>
    <col min="6" max="6" width="12.7109375" bestFit="1" customWidth="1"/>
    <col min="7" max="7" width="27" bestFit="1" customWidth="1"/>
    <col min="8" max="8" width="11.1406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1">
        <v>45383</v>
      </c>
      <c r="B2" t="s">
        <v>7</v>
      </c>
      <c r="C2" t="s">
        <v>8</v>
      </c>
      <c r="D2" t="s">
        <v>9</v>
      </c>
      <c r="E2">
        <v>36472261.25</v>
      </c>
      <c r="F2">
        <v>34825406.859999999</v>
      </c>
      <c r="G2">
        <v>2534061.84</v>
      </c>
    </row>
    <row r="3" spans="1:7" x14ac:dyDescent="0.25">
      <c r="A3" s="1">
        <v>45505</v>
      </c>
      <c r="B3" t="s">
        <v>7</v>
      </c>
      <c r="C3" t="s">
        <v>8</v>
      </c>
      <c r="D3" t="s">
        <v>10</v>
      </c>
      <c r="E3">
        <v>36726479.579999998</v>
      </c>
      <c r="F3">
        <v>36518185.609999999</v>
      </c>
      <c r="G3">
        <v>1957350.05</v>
      </c>
    </row>
    <row r="4" spans="1:7" x14ac:dyDescent="0.25">
      <c r="A4" s="1">
        <v>45566</v>
      </c>
      <c r="B4" t="s">
        <v>7</v>
      </c>
      <c r="C4" t="s">
        <v>8</v>
      </c>
      <c r="D4" t="s">
        <v>11</v>
      </c>
      <c r="E4">
        <v>39222837.229999997</v>
      </c>
      <c r="F4">
        <v>39232860.479999997</v>
      </c>
      <c r="G4">
        <v>827102.42</v>
      </c>
    </row>
    <row r="5" spans="1:7" x14ac:dyDescent="0.25">
      <c r="A5" s="1">
        <v>45474</v>
      </c>
      <c r="B5" t="s">
        <v>7</v>
      </c>
      <c r="C5" t="s">
        <v>8</v>
      </c>
      <c r="D5" t="s">
        <v>12</v>
      </c>
      <c r="E5">
        <v>37688567.799999997</v>
      </c>
      <c r="F5">
        <v>48842429.920000002</v>
      </c>
      <c r="G5">
        <v>3766331.39</v>
      </c>
    </row>
    <row r="6" spans="1:7" x14ac:dyDescent="0.25">
      <c r="A6" s="1">
        <v>45597</v>
      </c>
      <c r="B6" t="s">
        <v>7</v>
      </c>
      <c r="C6" t="s">
        <v>8</v>
      </c>
      <c r="D6" t="s">
        <v>13</v>
      </c>
      <c r="E6">
        <v>58217871.840000004</v>
      </c>
      <c r="F6">
        <v>44146944.539999999</v>
      </c>
      <c r="G6">
        <v>448567.9</v>
      </c>
    </row>
    <row r="7" spans="1:7" x14ac:dyDescent="0.25">
      <c r="A7" s="1">
        <v>45627</v>
      </c>
      <c r="B7" t="s">
        <v>7</v>
      </c>
      <c r="C7" t="s">
        <v>8</v>
      </c>
      <c r="D7" t="s">
        <v>14</v>
      </c>
      <c r="E7">
        <v>49029501.560000002</v>
      </c>
      <c r="F7">
        <v>48389868.359999999</v>
      </c>
      <c r="G7">
        <v>1111326.95</v>
      </c>
    </row>
    <row r="8" spans="1:7" x14ac:dyDescent="0.25">
      <c r="A8" s="1">
        <v>45352</v>
      </c>
      <c r="B8" t="s">
        <v>7</v>
      </c>
      <c r="C8" t="s">
        <v>8</v>
      </c>
      <c r="D8" t="s">
        <v>15</v>
      </c>
      <c r="E8">
        <v>35669331.020000003</v>
      </c>
      <c r="F8">
        <v>35408557.619999997</v>
      </c>
      <c r="G8">
        <v>3072545.57</v>
      </c>
    </row>
    <row r="9" spans="1:7" x14ac:dyDescent="0.25">
      <c r="A9" s="1">
        <v>45536</v>
      </c>
      <c r="B9" t="s">
        <v>7</v>
      </c>
      <c r="C9" t="s">
        <v>8</v>
      </c>
      <c r="D9" t="s">
        <v>16</v>
      </c>
      <c r="E9">
        <v>38863749.020000003</v>
      </c>
      <c r="F9">
        <v>36918756.350000001</v>
      </c>
      <c r="G9">
        <v>287033.40999999997</v>
      </c>
    </row>
    <row r="10" spans="1:7" x14ac:dyDescent="0.25">
      <c r="A10" s="1">
        <v>45292</v>
      </c>
      <c r="B10" t="s">
        <v>7</v>
      </c>
      <c r="C10" t="s">
        <v>8</v>
      </c>
      <c r="D10" t="s">
        <v>17</v>
      </c>
      <c r="E10">
        <v>33048210.059999999</v>
      </c>
      <c r="F10">
        <v>6001732.9500000002</v>
      </c>
      <c r="G10">
        <v>43700944</v>
      </c>
    </row>
    <row r="11" spans="1:7" x14ac:dyDescent="0.25">
      <c r="A11" s="1">
        <v>45323</v>
      </c>
      <c r="B11" t="s">
        <v>7</v>
      </c>
      <c r="C11" t="s">
        <v>8</v>
      </c>
      <c r="D11" t="s">
        <v>18</v>
      </c>
      <c r="E11">
        <v>34266775.689999998</v>
      </c>
      <c r="F11">
        <v>30023867.969999999</v>
      </c>
      <c r="G11">
        <v>6624726.21</v>
      </c>
    </row>
    <row r="12" spans="1:7" x14ac:dyDescent="0.25">
      <c r="A12" s="1">
        <v>45444</v>
      </c>
      <c r="B12" t="s">
        <v>7</v>
      </c>
      <c r="C12" t="s">
        <v>8</v>
      </c>
      <c r="D12" t="s">
        <v>19</v>
      </c>
      <c r="E12">
        <v>47401285.520000003</v>
      </c>
      <c r="F12">
        <v>42970812.93</v>
      </c>
      <c r="G12">
        <v>4239064.99</v>
      </c>
    </row>
    <row r="13" spans="1:7" x14ac:dyDescent="0.25">
      <c r="A13" s="1">
        <v>45413</v>
      </c>
      <c r="B13" t="s">
        <v>7</v>
      </c>
      <c r="C13" t="s">
        <v>8</v>
      </c>
      <c r="D13" t="s">
        <v>20</v>
      </c>
      <c r="E13">
        <v>43774919.380000003</v>
      </c>
      <c r="F13">
        <v>37360564.189999998</v>
      </c>
      <c r="G13">
        <v>1561690.15</v>
      </c>
    </row>
    <row r="14" spans="1:7" x14ac:dyDescent="0.25">
      <c r="A14" s="1">
        <v>45536</v>
      </c>
      <c r="B14" t="s">
        <v>7</v>
      </c>
      <c r="C14" t="s">
        <v>21</v>
      </c>
      <c r="D14" t="s">
        <v>22</v>
      </c>
      <c r="E14">
        <v>44492511</v>
      </c>
      <c r="F14">
        <v>43876552.109999999</v>
      </c>
      <c r="G14">
        <v>27056.11</v>
      </c>
    </row>
    <row r="15" spans="1:7" x14ac:dyDescent="0.25">
      <c r="A15" s="1">
        <v>45352</v>
      </c>
      <c r="B15" t="s">
        <v>7</v>
      </c>
      <c r="C15" t="s">
        <v>21</v>
      </c>
      <c r="D15" t="s">
        <v>23</v>
      </c>
      <c r="E15">
        <v>41943847.210000001</v>
      </c>
      <c r="F15">
        <v>41308484.539999999</v>
      </c>
      <c r="G15">
        <v>1770647.3</v>
      </c>
    </row>
    <row r="16" spans="1:7" x14ac:dyDescent="0.25">
      <c r="A16" s="1">
        <v>45383</v>
      </c>
      <c r="B16" t="s">
        <v>7</v>
      </c>
      <c r="C16" t="s">
        <v>21</v>
      </c>
      <c r="D16" t="s">
        <v>24</v>
      </c>
      <c r="E16">
        <v>45216966.170000002</v>
      </c>
      <c r="F16">
        <v>44087941.159999996</v>
      </c>
      <c r="G16">
        <v>1245608.06</v>
      </c>
    </row>
    <row r="17" spans="1:7" x14ac:dyDescent="0.25">
      <c r="A17" s="1">
        <v>45597</v>
      </c>
      <c r="B17" t="s">
        <v>7</v>
      </c>
      <c r="C17" t="s">
        <v>21</v>
      </c>
      <c r="D17" t="s">
        <v>25</v>
      </c>
      <c r="E17">
        <v>67636169.969999999</v>
      </c>
      <c r="F17">
        <v>52668441.770000003</v>
      </c>
      <c r="G17">
        <v>169751.66</v>
      </c>
    </row>
    <row r="18" spans="1:7" x14ac:dyDescent="0.25">
      <c r="A18" s="1">
        <v>45413</v>
      </c>
      <c r="B18" t="s">
        <v>7</v>
      </c>
      <c r="C18" t="s">
        <v>21</v>
      </c>
      <c r="D18" t="s">
        <v>26</v>
      </c>
      <c r="E18">
        <v>44936710.960000001</v>
      </c>
      <c r="F18">
        <v>43874703.140000001</v>
      </c>
      <c r="G18">
        <v>896349.35</v>
      </c>
    </row>
    <row r="19" spans="1:7" x14ac:dyDescent="0.25">
      <c r="A19" s="1">
        <v>45444</v>
      </c>
      <c r="B19" t="s">
        <v>7</v>
      </c>
      <c r="C19" t="s">
        <v>21</v>
      </c>
      <c r="D19" t="s">
        <v>27</v>
      </c>
      <c r="E19">
        <v>53692285.439999998</v>
      </c>
      <c r="F19">
        <v>44787152.5</v>
      </c>
      <c r="G19">
        <v>232307.05</v>
      </c>
    </row>
    <row r="20" spans="1:7" x14ac:dyDescent="0.25">
      <c r="A20" s="1">
        <v>45566</v>
      </c>
      <c r="B20" t="s">
        <v>7</v>
      </c>
      <c r="C20" t="s">
        <v>21</v>
      </c>
      <c r="D20" t="s">
        <v>28</v>
      </c>
      <c r="E20">
        <v>44288092.539999999</v>
      </c>
      <c r="F20">
        <v>45051508.880000003</v>
      </c>
      <c r="G20">
        <v>258863.47</v>
      </c>
    </row>
    <row r="21" spans="1:7" x14ac:dyDescent="0.25">
      <c r="A21" s="1">
        <v>45474</v>
      </c>
      <c r="B21" t="s">
        <v>7</v>
      </c>
      <c r="C21" t="s">
        <v>21</v>
      </c>
      <c r="D21" t="s">
        <v>29</v>
      </c>
      <c r="E21">
        <v>42842488.240000002</v>
      </c>
      <c r="F21">
        <v>52505760.259999998</v>
      </c>
      <c r="G21">
        <v>492552.61</v>
      </c>
    </row>
    <row r="22" spans="1:7" x14ac:dyDescent="0.25">
      <c r="A22" s="1">
        <v>45292</v>
      </c>
      <c r="B22" t="s">
        <v>7</v>
      </c>
      <c r="C22" t="s">
        <v>21</v>
      </c>
      <c r="D22" t="s">
        <v>30</v>
      </c>
      <c r="E22">
        <v>41598624.350000001</v>
      </c>
      <c r="F22">
        <v>8562356.2799999993</v>
      </c>
      <c r="G22">
        <v>48754062.909999996</v>
      </c>
    </row>
    <row r="23" spans="1:7" x14ac:dyDescent="0.25">
      <c r="A23" s="1">
        <v>45323</v>
      </c>
      <c r="B23" t="s">
        <v>7</v>
      </c>
      <c r="C23" t="s">
        <v>21</v>
      </c>
      <c r="D23" t="s">
        <v>31</v>
      </c>
      <c r="E23">
        <v>39442652.090000004</v>
      </c>
      <c r="F23">
        <v>36299226.060000002</v>
      </c>
      <c r="G23">
        <v>1531788.83</v>
      </c>
    </row>
    <row r="24" spans="1:7" x14ac:dyDescent="0.25">
      <c r="A24" s="1">
        <v>45627</v>
      </c>
      <c r="B24" t="s">
        <v>7</v>
      </c>
      <c r="C24" t="s">
        <v>21</v>
      </c>
      <c r="D24" t="s">
        <v>32</v>
      </c>
      <c r="E24">
        <v>59674631.829999998</v>
      </c>
      <c r="F24">
        <v>56896730.93</v>
      </c>
      <c r="G24">
        <v>198737.88</v>
      </c>
    </row>
    <row r="25" spans="1:7" x14ac:dyDescent="0.25">
      <c r="A25" s="1">
        <v>45505</v>
      </c>
      <c r="B25" t="s">
        <v>7</v>
      </c>
      <c r="C25" t="s">
        <v>21</v>
      </c>
      <c r="D25" t="s">
        <v>33</v>
      </c>
      <c r="E25">
        <v>43033360.450000003</v>
      </c>
      <c r="F25">
        <v>43034669.380000003</v>
      </c>
      <c r="G25">
        <v>239964.28</v>
      </c>
    </row>
    <row r="26" spans="1:7" x14ac:dyDescent="0.25">
      <c r="A26" s="1">
        <v>45505</v>
      </c>
      <c r="B26" t="s">
        <v>7</v>
      </c>
      <c r="C26" t="s">
        <v>34</v>
      </c>
      <c r="D26" t="s">
        <v>35</v>
      </c>
      <c r="E26">
        <v>63167851.509999998</v>
      </c>
      <c r="F26">
        <v>62319691.25</v>
      </c>
      <c r="G26">
        <v>717719.03</v>
      </c>
    </row>
    <row r="27" spans="1:7" x14ac:dyDescent="0.25">
      <c r="A27" s="1">
        <v>45383</v>
      </c>
      <c r="B27" t="s">
        <v>7</v>
      </c>
      <c r="C27" t="s">
        <v>34</v>
      </c>
      <c r="D27" t="s">
        <v>36</v>
      </c>
      <c r="E27">
        <v>59841486.130000003</v>
      </c>
      <c r="F27">
        <v>60195872.460000001</v>
      </c>
      <c r="G27">
        <v>2185933.7799999998</v>
      </c>
    </row>
    <row r="28" spans="1:7" x14ac:dyDescent="0.25">
      <c r="A28" s="1">
        <v>45566</v>
      </c>
      <c r="B28" t="s">
        <v>7</v>
      </c>
      <c r="C28" t="s">
        <v>34</v>
      </c>
      <c r="D28" t="s">
        <v>37</v>
      </c>
      <c r="E28">
        <v>65248601.789999999</v>
      </c>
      <c r="F28">
        <v>65322857.170000002</v>
      </c>
      <c r="G28">
        <v>702976.25</v>
      </c>
    </row>
    <row r="29" spans="1:7" x14ac:dyDescent="0.25">
      <c r="A29" s="1">
        <v>45292</v>
      </c>
      <c r="B29" t="s">
        <v>7</v>
      </c>
      <c r="C29" t="s">
        <v>34</v>
      </c>
      <c r="D29" t="s">
        <v>38</v>
      </c>
      <c r="E29">
        <v>60503418.460000001</v>
      </c>
      <c r="F29">
        <v>7347061.3399999999</v>
      </c>
      <c r="G29">
        <v>67731999.030000001</v>
      </c>
    </row>
    <row r="30" spans="1:7" x14ac:dyDescent="0.25">
      <c r="A30" s="1">
        <v>45597</v>
      </c>
      <c r="B30" t="s">
        <v>7</v>
      </c>
      <c r="C30" t="s">
        <v>34</v>
      </c>
      <c r="D30" t="s">
        <v>39</v>
      </c>
      <c r="E30">
        <v>94873449.719999999</v>
      </c>
      <c r="F30">
        <v>72577452.280000001</v>
      </c>
      <c r="G30">
        <v>653884.30000000005</v>
      </c>
    </row>
    <row r="31" spans="1:7" x14ac:dyDescent="0.25">
      <c r="A31" s="1">
        <v>45413</v>
      </c>
      <c r="B31" t="s">
        <v>7</v>
      </c>
      <c r="C31" t="s">
        <v>34</v>
      </c>
      <c r="D31" t="s">
        <v>40</v>
      </c>
      <c r="E31">
        <v>70007531.590000004</v>
      </c>
      <c r="F31">
        <v>60760676.649999999</v>
      </c>
      <c r="G31">
        <v>3176889.08</v>
      </c>
    </row>
    <row r="32" spans="1:7" x14ac:dyDescent="0.25">
      <c r="A32" s="1">
        <v>45627</v>
      </c>
      <c r="B32" t="s">
        <v>7</v>
      </c>
      <c r="C32" t="s">
        <v>34</v>
      </c>
      <c r="D32" t="s">
        <v>41</v>
      </c>
      <c r="E32">
        <v>82578516.739999995</v>
      </c>
      <c r="F32">
        <v>89147391.870000005</v>
      </c>
      <c r="G32">
        <v>1473637.03</v>
      </c>
    </row>
    <row r="33" spans="1:7" x14ac:dyDescent="0.25">
      <c r="A33" s="1">
        <v>45352</v>
      </c>
      <c r="B33" t="s">
        <v>7</v>
      </c>
      <c r="C33" t="s">
        <v>34</v>
      </c>
      <c r="D33" t="s">
        <v>42</v>
      </c>
      <c r="E33">
        <v>59757704.149999999</v>
      </c>
      <c r="F33">
        <v>58206595.07</v>
      </c>
      <c r="G33">
        <v>4666163.91</v>
      </c>
    </row>
    <row r="34" spans="1:7" x14ac:dyDescent="0.25">
      <c r="A34" s="1">
        <v>45323</v>
      </c>
      <c r="B34" t="s">
        <v>7</v>
      </c>
      <c r="C34" t="s">
        <v>34</v>
      </c>
      <c r="D34" t="s">
        <v>43</v>
      </c>
      <c r="E34">
        <v>61101468.270000003</v>
      </c>
      <c r="F34">
        <v>65728348.770000003</v>
      </c>
      <c r="G34">
        <v>5088492.59</v>
      </c>
    </row>
    <row r="35" spans="1:7" x14ac:dyDescent="0.25">
      <c r="A35" s="1">
        <v>45474</v>
      </c>
      <c r="B35" t="s">
        <v>7</v>
      </c>
      <c r="C35" t="s">
        <v>34</v>
      </c>
      <c r="D35" t="s">
        <v>44</v>
      </c>
      <c r="E35">
        <v>61843541.390000001</v>
      </c>
      <c r="F35">
        <v>83654416.010000005</v>
      </c>
      <c r="G35">
        <v>1601952.93</v>
      </c>
    </row>
    <row r="36" spans="1:7" x14ac:dyDescent="0.25">
      <c r="A36" s="1">
        <v>45536</v>
      </c>
      <c r="B36" t="s">
        <v>7</v>
      </c>
      <c r="C36" t="s">
        <v>34</v>
      </c>
      <c r="D36" t="s">
        <v>45</v>
      </c>
      <c r="E36">
        <v>63506496.329999998</v>
      </c>
      <c r="F36">
        <v>62897720.789999999</v>
      </c>
      <c r="G36">
        <v>1749700.16</v>
      </c>
    </row>
    <row r="37" spans="1:7" x14ac:dyDescent="0.25">
      <c r="A37" s="1">
        <v>45444</v>
      </c>
      <c r="B37" t="s">
        <v>7</v>
      </c>
      <c r="C37" t="s">
        <v>34</v>
      </c>
      <c r="D37" t="s">
        <v>46</v>
      </c>
      <c r="E37">
        <v>83119552.469999999</v>
      </c>
      <c r="F37">
        <v>68880350.640000001</v>
      </c>
      <c r="G37">
        <v>3675752.13</v>
      </c>
    </row>
    <row r="38" spans="1:7" x14ac:dyDescent="0.25">
      <c r="A38" s="1">
        <v>45292</v>
      </c>
      <c r="B38" t="s">
        <v>7</v>
      </c>
      <c r="C38" t="s">
        <v>47</v>
      </c>
      <c r="D38" t="s">
        <v>48</v>
      </c>
      <c r="E38">
        <v>499316745.94999999</v>
      </c>
      <c r="F38">
        <v>33612880.329999998</v>
      </c>
      <c r="G38">
        <v>856971369.73000002</v>
      </c>
    </row>
    <row r="39" spans="1:7" x14ac:dyDescent="0.25">
      <c r="A39" s="1">
        <v>45352</v>
      </c>
      <c r="B39" t="s">
        <v>7</v>
      </c>
      <c r="C39" t="s">
        <v>47</v>
      </c>
      <c r="D39" t="s">
        <v>49</v>
      </c>
      <c r="E39">
        <v>730686776.79999995</v>
      </c>
      <c r="F39">
        <v>744271500.76999998</v>
      </c>
      <c r="G39">
        <v>107715002.59999999</v>
      </c>
    </row>
    <row r="40" spans="1:7" x14ac:dyDescent="0.25">
      <c r="A40" s="1">
        <v>45383</v>
      </c>
      <c r="B40" t="s">
        <v>7</v>
      </c>
      <c r="C40" t="s">
        <v>47</v>
      </c>
      <c r="D40" t="s">
        <v>50</v>
      </c>
      <c r="E40">
        <v>831495085.36000001</v>
      </c>
      <c r="F40">
        <v>796729013.63</v>
      </c>
      <c r="G40">
        <v>63362186.020000003</v>
      </c>
    </row>
    <row r="41" spans="1:7" x14ac:dyDescent="0.25">
      <c r="A41" s="1">
        <v>45627</v>
      </c>
      <c r="B41" t="s">
        <v>7</v>
      </c>
      <c r="C41" t="s">
        <v>47</v>
      </c>
      <c r="D41" t="s">
        <v>51</v>
      </c>
      <c r="E41">
        <v>1218951765.5</v>
      </c>
      <c r="F41">
        <v>1352702333.0699999</v>
      </c>
      <c r="G41">
        <v>31942348.309999999</v>
      </c>
    </row>
    <row r="42" spans="1:7" x14ac:dyDescent="0.25">
      <c r="A42" s="1">
        <v>45323</v>
      </c>
      <c r="B42" t="s">
        <v>7</v>
      </c>
      <c r="C42" t="s">
        <v>47</v>
      </c>
      <c r="D42" t="s">
        <v>52</v>
      </c>
      <c r="E42">
        <v>704582965.15999997</v>
      </c>
      <c r="F42">
        <v>604387073.98000002</v>
      </c>
      <c r="G42">
        <v>237798470.24000001</v>
      </c>
    </row>
    <row r="43" spans="1:7" x14ac:dyDescent="0.25">
      <c r="A43" s="1">
        <v>45413</v>
      </c>
      <c r="B43" t="s">
        <v>7</v>
      </c>
      <c r="C43" t="s">
        <v>47</v>
      </c>
      <c r="D43" t="s">
        <v>53</v>
      </c>
      <c r="E43">
        <v>873718205.60000002</v>
      </c>
      <c r="F43">
        <v>841645257.54999995</v>
      </c>
      <c r="G43">
        <v>44698739.119999997</v>
      </c>
    </row>
    <row r="44" spans="1:7" x14ac:dyDescent="0.25">
      <c r="A44" s="1">
        <v>45444</v>
      </c>
      <c r="B44" t="s">
        <v>7</v>
      </c>
      <c r="C44" t="s">
        <v>47</v>
      </c>
      <c r="D44" t="s">
        <v>54</v>
      </c>
      <c r="E44">
        <v>908629252.08000004</v>
      </c>
      <c r="F44">
        <v>867329455.08000004</v>
      </c>
      <c r="G44">
        <v>28126342.780000001</v>
      </c>
    </row>
    <row r="45" spans="1:7" x14ac:dyDescent="0.25">
      <c r="A45" s="1">
        <v>45566</v>
      </c>
      <c r="B45" t="s">
        <v>7</v>
      </c>
      <c r="C45" t="s">
        <v>47</v>
      </c>
      <c r="D45" t="s">
        <v>55</v>
      </c>
      <c r="E45">
        <v>813310095.19000006</v>
      </c>
      <c r="F45">
        <v>963506548.98000002</v>
      </c>
      <c r="G45">
        <v>12750703.74</v>
      </c>
    </row>
    <row r="46" spans="1:7" x14ac:dyDescent="0.25">
      <c r="A46" s="1">
        <v>45474</v>
      </c>
      <c r="B46" t="s">
        <v>7</v>
      </c>
      <c r="C46" t="s">
        <v>47</v>
      </c>
      <c r="D46" t="s">
        <v>56</v>
      </c>
      <c r="E46">
        <v>795647937.52999997</v>
      </c>
      <c r="F46">
        <v>1117346980.74</v>
      </c>
      <c r="G46">
        <v>24774935.190000001</v>
      </c>
    </row>
    <row r="47" spans="1:7" x14ac:dyDescent="0.25">
      <c r="A47" s="1">
        <v>45536</v>
      </c>
      <c r="B47" t="s">
        <v>7</v>
      </c>
      <c r="C47" t="s">
        <v>47</v>
      </c>
      <c r="D47" t="s">
        <v>57</v>
      </c>
      <c r="E47">
        <v>926782052.72000003</v>
      </c>
      <c r="F47">
        <v>939604937.97000003</v>
      </c>
      <c r="G47">
        <v>15451751.75</v>
      </c>
    </row>
    <row r="48" spans="1:7" x14ac:dyDescent="0.25">
      <c r="A48" s="1">
        <v>45505</v>
      </c>
      <c r="B48" t="s">
        <v>7</v>
      </c>
      <c r="C48" t="s">
        <v>47</v>
      </c>
      <c r="D48" t="s">
        <v>58</v>
      </c>
      <c r="E48">
        <v>921090531.01999998</v>
      </c>
      <c r="F48">
        <v>933553927.13</v>
      </c>
      <c r="G48">
        <v>14975572.82</v>
      </c>
    </row>
    <row r="49" spans="1:7" x14ac:dyDescent="0.25">
      <c r="A49" s="1">
        <v>45597</v>
      </c>
      <c r="B49" t="s">
        <v>7</v>
      </c>
      <c r="C49" t="s">
        <v>47</v>
      </c>
      <c r="D49" t="s">
        <v>59</v>
      </c>
      <c r="E49">
        <v>1057421142.37</v>
      </c>
      <c r="F49">
        <v>952770289.55999994</v>
      </c>
      <c r="G49">
        <v>30919465.280000001</v>
      </c>
    </row>
    <row r="50" spans="1:7" x14ac:dyDescent="0.25">
      <c r="A50" s="1">
        <v>45413</v>
      </c>
      <c r="B50" t="s">
        <v>7</v>
      </c>
      <c r="C50" t="s">
        <v>60</v>
      </c>
      <c r="D50" t="s">
        <v>61</v>
      </c>
      <c r="E50">
        <v>608305445.57000005</v>
      </c>
      <c r="F50">
        <v>387090819.06</v>
      </c>
      <c r="G50">
        <v>7995000.5199999996</v>
      </c>
    </row>
    <row r="51" spans="1:7" x14ac:dyDescent="0.25">
      <c r="A51" s="1">
        <v>45474</v>
      </c>
      <c r="B51" t="s">
        <v>7</v>
      </c>
      <c r="C51" t="s">
        <v>60</v>
      </c>
      <c r="D51" t="s">
        <v>62</v>
      </c>
      <c r="E51">
        <v>521195067.26999998</v>
      </c>
      <c r="F51">
        <v>423526027.63</v>
      </c>
      <c r="G51">
        <v>13223434.6</v>
      </c>
    </row>
    <row r="52" spans="1:7" x14ac:dyDescent="0.25">
      <c r="A52" s="1">
        <v>45505</v>
      </c>
      <c r="B52" t="s">
        <v>7</v>
      </c>
      <c r="C52" t="s">
        <v>60</v>
      </c>
      <c r="D52" t="s">
        <v>63</v>
      </c>
      <c r="E52">
        <v>376076284.87</v>
      </c>
      <c r="F52">
        <v>376772355.51999998</v>
      </c>
      <c r="G52">
        <v>9278147.7799999993</v>
      </c>
    </row>
    <row r="53" spans="1:7" x14ac:dyDescent="0.25">
      <c r="A53" s="1">
        <v>45383</v>
      </c>
      <c r="B53" t="s">
        <v>7</v>
      </c>
      <c r="C53" t="s">
        <v>60</v>
      </c>
      <c r="D53" t="s">
        <v>64</v>
      </c>
      <c r="E53">
        <v>334562621.60000002</v>
      </c>
      <c r="F53">
        <v>407616332.89999998</v>
      </c>
      <c r="G53">
        <v>30543830.07</v>
      </c>
    </row>
    <row r="54" spans="1:7" x14ac:dyDescent="0.25">
      <c r="A54" s="1">
        <v>45292</v>
      </c>
      <c r="B54" t="s">
        <v>7</v>
      </c>
      <c r="C54" t="s">
        <v>60</v>
      </c>
      <c r="D54" t="s">
        <v>65</v>
      </c>
      <c r="E54">
        <v>114661944.54000001</v>
      </c>
      <c r="F54">
        <v>1988212.71</v>
      </c>
      <c r="G54">
        <v>29121025.670000002</v>
      </c>
    </row>
    <row r="55" spans="1:7" x14ac:dyDescent="0.25">
      <c r="A55" s="1">
        <v>45444</v>
      </c>
      <c r="B55" t="s">
        <v>7</v>
      </c>
      <c r="C55" t="s">
        <v>60</v>
      </c>
      <c r="D55" t="s">
        <v>66</v>
      </c>
      <c r="E55">
        <v>305212408.48000002</v>
      </c>
      <c r="F55">
        <v>389519324.26999998</v>
      </c>
      <c r="G55">
        <v>12428016.16</v>
      </c>
    </row>
    <row r="56" spans="1:7" x14ac:dyDescent="0.25">
      <c r="A56" s="1">
        <v>45566</v>
      </c>
      <c r="B56" t="s">
        <v>7</v>
      </c>
      <c r="C56" t="s">
        <v>60</v>
      </c>
      <c r="D56" t="s">
        <v>67</v>
      </c>
      <c r="E56">
        <v>511623349.63</v>
      </c>
      <c r="F56">
        <v>392685475.38</v>
      </c>
      <c r="G56">
        <v>5416019.4299999997</v>
      </c>
    </row>
    <row r="57" spans="1:7" x14ac:dyDescent="0.25">
      <c r="A57" s="1">
        <v>45352</v>
      </c>
      <c r="B57" t="s">
        <v>7</v>
      </c>
      <c r="C57" t="s">
        <v>60</v>
      </c>
      <c r="D57" t="s">
        <v>68</v>
      </c>
      <c r="E57">
        <v>221169915.41999999</v>
      </c>
      <c r="F57">
        <v>354171982.75</v>
      </c>
      <c r="G57">
        <v>39222017.310000002</v>
      </c>
    </row>
    <row r="58" spans="1:7" x14ac:dyDescent="0.25">
      <c r="A58" s="1">
        <v>45323</v>
      </c>
      <c r="B58" t="s">
        <v>7</v>
      </c>
      <c r="C58" t="s">
        <v>60</v>
      </c>
      <c r="D58" t="s">
        <v>69</v>
      </c>
      <c r="E58">
        <v>279934843.88</v>
      </c>
      <c r="F58">
        <v>155222897.44999999</v>
      </c>
      <c r="G58">
        <v>322287125.85000002</v>
      </c>
    </row>
    <row r="59" spans="1:7" x14ac:dyDescent="0.25">
      <c r="A59" s="1">
        <v>45627</v>
      </c>
      <c r="B59" t="s">
        <v>7</v>
      </c>
      <c r="C59" t="s">
        <v>60</v>
      </c>
      <c r="D59" t="s">
        <v>70</v>
      </c>
      <c r="E59">
        <v>509971555.81999999</v>
      </c>
      <c r="F59">
        <v>628006975.59000003</v>
      </c>
      <c r="G59">
        <v>5321517.79</v>
      </c>
    </row>
    <row r="60" spans="1:7" x14ac:dyDescent="0.25">
      <c r="A60" s="1">
        <v>45597</v>
      </c>
      <c r="B60" t="s">
        <v>7</v>
      </c>
      <c r="C60" t="s">
        <v>60</v>
      </c>
      <c r="D60" t="s">
        <v>71</v>
      </c>
      <c r="E60">
        <v>216842404.77000001</v>
      </c>
      <c r="F60">
        <v>359388235.74000001</v>
      </c>
      <c r="G60">
        <v>15782393.67</v>
      </c>
    </row>
    <row r="61" spans="1:7" x14ac:dyDescent="0.25">
      <c r="A61" s="1">
        <v>45536</v>
      </c>
      <c r="B61" t="s">
        <v>7</v>
      </c>
      <c r="C61" t="s">
        <v>60</v>
      </c>
      <c r="D61" t="s">
        <v>72</v>
      </c>
      <c r="E61">
        <v>204760259.88999999</v>
      </c>
      <c r="F61">
        <v>318636571.56999999</v>
      </c>
      <c r="G61">
        <v>10016719.41</v>
      </c>
    </row>
    <row r="62" spans="1:7" x14ac:dyDescent="0.25">
      <c r="A62" s="1">
        <v>45292</v>
      </c>
      <c r="B62" t="s">
        <v>7</v>
      </c>
      <c r="C62" t="s">
        <v>73</v>
      </c>
      <c r="D62" t="s">
        <v>74</v>
      </c>
      <c r="E62">
        <v>8774734.3800000008</v>
      </c>
      <c r="F62">
        <v>1457852.42</v>
      </c>
      <c r="G62">
        <v>11623249</v>
      </c>
    </row>
    <row r="63" spans="1:7" x14ac:dyDescent="0.25">
      <c r="A63" s="1">
        <v>45474</v>
      </c>
      <c r="B63" t="s">
        <v>7</v>
      </c>
      <c r="C63" t="s">
        <v>73</v>
      </c>
      <c r="D63" t="s">
        <v>75</v>
      </c>
      <c r="E63">
        <v>10979326.41</v>
      </c>
      <c r="F63">
        <v>13864590.550000001</v>
      </c>
      <c r="G63">
        <v>413536.22</v>
      </c>
    </row>
    <row r="64" spans="1:7" x14ac:dyDescent="0.25">
      <c r="A64" s="1">
        <v>45383</v>
      </c>
      <c r="B64" t="s">
        <v>7</v>
      </c>
      <c r="C64" t="s">
        <v>73</v>
      </c>
      <c r="D64" t="s">
        <v>76</v>
      </c>
      <c r="E64">
        <v>11738620.17</v>
      </c>
      <c r="F64">
        <v>11870146.109999999</v>
      </c>
      <c r="G64">
        <v>212516.54</v>
      </c>
    </row>
    <row r="65" spans="1:7" x14ac:dyDescent="0.25">
      <c r="A65" s="1">
        <v>45323</v>
      </c>
      <c r="B65" t="s">
        <v>7</v>
      </c>
      <c r="C65" t="s">
        <v>73</v>
      </c>
      <c r="D65" t="s">
        <v>77</v>
      </c>
      <c r="E65">
        <v>10207507.300000001</v>
      </c>
      <c r="F65">
        <v>8908200.3499999996</v>
      </c>
      <c r="G65">
        <v>1562967.23</v>
      </c>
    </row>
    <row r="66" spans="1:7" x14ac:dyDescent="0.25">
      <c r="A66" s="1">
        <v>45413</v>
      </c>
      <c r="B66" t="s">
        <v>7</v>
      </c>
      <c r="C66" t="s">
        <v>73</v>
      </c>
      <c r="D66" t="s">
        <v>78</v>
      </c>
      <c r="E66">
        <v>11379351.109999999</v>
      </c>
      <c r="F66">
        <v>10498217.460000001</v>
      </c>
      <c r="G66">
        <v>273176.28000000003</v>
      </c>
    </row>
    <row r="67" spans="1:7" x14ac:dyDescent="0.25">
      <c r="A67" s="1">
        <v>45566</v>
      </c>
      <c r="B67" t="s">
        <v>7</v>
      </c>
      <c r="C67" t="s">
        <v>73</v>
      </c>
      <c r="D67" t="s">
        <v>79</v>
      </c>
      <c r="E67">
        <v>10694606.279999999</v>
      </c>
      <c r="F67">
        <v>10465534.880000001</v>
      </c>
      <c r="G67">
        <v>146839.57</v>
      </c>
    </row>
    <row r="68" spans="1:7" x14ac:dyDescent="0.25">
      <c r="A68" s="1">
        <v>45444</v>
      </c>
      <c r="B68" t="s">
        <v>7</v>
      </c>
      <c r="C68" t="s">
        <v>73</v>
      </c>
      <c r="D68" t="s">
        <v>80</v>
      </c>
      <c r="E68">
        <v>13415337.82</v>
      </c>
      <c r="F68">
        <v>11206097.82</v>
      </c>
      <c r="G68">
        <v>287482.81</v>
      </c>
    </row>
    <row r="69" spans="1:7" x14ac:dyDescent="0.25">
      <c r="A69" s="1">
        <v>45505</v>
      </c>
      <c r="B69" t="s">
        <v>7</v>
      </c>
      <c r="C69" t="s">
        <v>73</v>
      </c>
      <c r="D69" t="s">
        <v>81</v>
      </c>
      <c r="E69">
        <v>10676085.039999999</v>
      </c>
      <c r="F69">
        <v>11040267.279999999</v>
      </c>
      <c r="G69">
        <v>143994.79999999999</v>
      </c>
    </row>
    <row r="70" spans="1:7" x14ac:dyDescent="0.25">
      <c r="A70" s="1">
        <v>45536</v>
      </c>
      <c r="B70" t="s">
        <v>7</v>
      </c>
      <c r="C70" t="s">
        <v>73</v>
      </c>
      <c r="D70" t="s">
        <v>82</v>
      </c>
      <c r="E70">
        <v>13888989.91</v>
      </c>
      <c r="F70">
        <v>13821748.84</v>
      </c>
      <c r="G70">
        <v>35444.21</v>
      </c>
    </row>
    <row r="71" spans="1:7" x14ac:dyDescent="0.25">
      <c r="A71" s="1">
        <v>45627</v>
      </c>
      <c r="B71" t="s">
        <v>7</v>
      </c>
      <c r="C71" t="s">
        <v>73</v>
      </c>
      <c r="D71" t="s">
        <v>83</v>
      </c>
      <c r="E71">
        <v>14011031.08</v>
      </c>
      <c r="F71">
        <v>15158660.74</v>
      </c>
      <c r="G71">
        <v>72093.740000000005</v>
      </c>
    </row>
    <row r="72" spans="1:7" x14ac:dyDescent="0.25">
      <c r="A72" s="1">
        <v>45352</v>
      </c>
      <c r="B72" t="s">
        <v>7</v>
      </c>
      <c r="C72" t="s">
        <v>73</v>
      </c>
      <c r="D72" t="s">
        <v>84</v>
      </c>
      <c r="E72">
        <v>9633149.7799999993</v>
      </c>
      <c r="F72">
        <v>9305842.4100000001</v>
      </c>
      <c r="G72">
        <v>157868.4</v>
      </c>
    </row>
    <row r="73" spans="1:7" x14ac:dyDescent="0.25">
      <c r="A73" s="1">
        <v>45597</v>
      </c>
      <c r="B73" t="s">
        <v>7</v>
      </c>
      <c r="C73" t="s">
        <v>73</v>
      </c>
      <c r="D73" t="s">
        <v>85</v>
      </c>
      <c r="E73">
        <v>15640378.050000001</v>
      </c>
      <c r="F73">
        <v>12258229.369999999</v>
      </c>
      <c r="G73">
        <v>142209.97</v>
      </c>
    </row>
    <row r="74" spans="1:7" x14ac:dyDescent="0.25">
      <c r="A74" s="1">
        <v>45536</v>
      </c>
      <c r="B74" t="s">
        <v>7</v>
      </c>
      <c r="C74" t="s">
        <v>86</v>
      </c>
      <c r="D74" t="s">
        <v>87</v>
      </c>
      <c r="E74">
        <v>182427522.81</v>
      </c>
      <c r="F74">
        <v>181806307.47999999</v>
      </c>
      <c r="G74">
        <v>6448845.6100000003</v>
      </c>
    </row>
    <row r="75" spans="1:7" x14ac:dyDescent="0.25">
      <c r="A75" s="1">
        <v>45474</v>
      </c>
      <c r="B75" t="s">
        <v>7</v>
      </c>
      <c r="C75" t="s">
        <v>86</v>
      </c>
      <c r="D75" t="s">
        <v>88</v>
      </c>
      <c r="E75">
        <v>175995980.75999999</v>
      </c>
      <c r="F75">
        <v>225504124.93000001</v>
      </c>
      <c r="G75">
        <v>11004113.92</v>
      </c>
    </row>
    <row r="76" spans="1:7" x14ac:dyDescent="0.25">
      <c r="A76" s="1">
        <v>45597</v>
      </c>
      <c r="B76" t="s">
        <v>7</v>
      </c>
      <c r="C76" t="s">
        <v>86</v>
      </c>
      <c r="D76" t="s">
        <v>89</v>
      </c>
      <c r="E76">
        <v>265778738.59</v>
      </c>
      <c r="F76">
        <v>208874870.44</v>
      </c>
      <c r="G76">
        <v>3125956.16</v>
      </c>
    </row>
    <row r="77" spans="1:7" x14ac:dyDescent="0.25">
      <c r="A77" s="1">
        <v>45383</v>
      </c>
      <c r="B77" t="s">
        <v>7</v>
      </c>
      <c r="C77" t="s">
        <v>86</v>
      </c>
      <c r="D77" t="s">
        <v>90</v>
      </c>
      <c r="E77">
        <v>165086521.88</v>
      </c>
      <c r="F77">
        <v>160237508.91</v>
      </c>
      <c r="G77">
        <v>20033208.57</v>
      </c>
    </row>
    <row r="78" spans="1:7" x14ac:dyDescent="0.25">
      <c r="A78" s="1">
        <v>45627</v>
      </c>
      <c r="B78" t="s">
        <v>7</v>
      </c>
      <c r="C78" t="s">
        <v>86</v>
      </c>
      <c r="D78" t="s">
        <v>91</v>
      </c>
      <c r="E78">
        <v>224753206.22</v>
      </c>
      <c r="F78">
        <v>251465224.78999999</v>
      </c>
      <c r="G78">
        <v>15806082.49</v>
      </c>
    </row>
    <row r="79" spans="1:7" x14ac:dyDescent="0.25">
      <c r="A79" s="1">
        <v>45413</v>
      </c>
      <c r="B79" t="s">
        <v>7</v>
      </c>
      <c r="C79" t="s">
        <v>86</v>
      </c>
      <c r="D79" t="s">
        <v>92</v>
      </c>
      <c r="E79">
        <v>176469846.38999999</v>
      </c>
      <c r="F79">
        <v>166796966.78999999</v>
      </c>
      <c r="G79">
        <v>19399390.190000001</v>
      </c>
    </row>
    <row r="80" spans="1:7" x14ac:dyDescent="0.25">
      <c r="A80" s="1">
        <v>45505</v>
      </c>
      <c r="B80" t="s">
        <v>7</v>
      </c>
      <c r="C80" t="s">
        <v>86</v>
      </c>
      <c r="D80" t="s">
        <v>93</v>
      </c>
      <c r="E80">
        <v>186114308.24000001</v>
      </c>
      <c r="F80">
        <v>177007912.12</v>
      </c>
      <c r="G80">
        <v>11925804.99</v>
      </c>
    </row>
    <row r="81" spans="1:7" x14ac:dyDescent="0.25">
      <c r="A81" s="1">
        <v>45444</v>
      </c>
      <c r="B81" t="s">
        <v>7</v>
      </c>
      <c r="C81" t="s">
        <v>86</v>
      </c>
      <c r="D81" t="s">
        <v>94</v>
      </c>
      <c r="E81">
        <v>222217023.78</v>
      </c>
      <c r="F81">
        <v>175611670.02000001</v>
      </c>
      <c r="G81">
        <v>12205810.359999999</v>
      </c>
    </row>
    <row r="82" spans="1:7" x14ac:dyDescent="0.25">
      <c r="A82" s="1">
        <v>45352</v>
      </c>
      <c r="B82" t="s">
        <v>7</v>
      </c>
      <c r="C82" t="s">
        <v>86</v>
      </c>
      <c r="D82" t="s">
        <v>95</v>
      </c>
      <c r="E82">
        <v>155983255.34</v>
      </c>
      <c r="F82">
        <v>152857025.28</v>
      </c>
      <c r="G82">
        <v>40532204.609999999</v>
      </c>
    </row>
    <row r="83" spans="1:7" x14ac:dyDescent="0.25">
      <c r="A83" s="1">
        <v>45566</v>
      </c>
      <c r="B83" t="s">
        <v>7</v>
      </c>
      <c r="C83" t="s">
        <v>86</v>
      </c>
      <c r="D83" t="s">
        <v>96</v>
      </c>
      <c r="E83">
        <v>191022951.66</v>
      </c>
      <c r="F83">
        <v>196095312.30000001</v>
      </c>
      <c r="G83">
        <v>5227648.76</v>
      </c>
    </row>
    <row r="84" spans="1:7" x14ac:dyDescent="0.25">
      <c r="A84" s="1">
        <v>45292</v>
      </c>
      <c r="B84" t="s">
        <v>7</v>
      </c>
      <c r="C84" t="s">
        <v>86</v>
      </c>
      <c r="D84" t="s">
        <v>97</v>
      </c>
      <c r="E84">
        <v>152313009.12</v>
      </c>
      <c r="F84">
        <v>31382078.550000001</v>
      </c>
      <c r="G84">
        <v>172781284.50999999</v>
      </c>
    </row>
    <row r="85" spans="1:7" x14ac:dyDescent="0.25">
      <c r="A85" s="1">
        <v>45323</v>
      </c>
      <c r="B85" t="s">
        <v>7</v>
      </c>
      <c r="C85" t="s">
        <v>86</v>
      </c>
      <c r="D85" t="s">
        <v>98</v>
      </c>
      <c r="E85">
        <v>150479479.96000001</v>
      </c>
      <c r="F85">
        <v>135042024.88999999</v>
      </c>
      <c r="G85">
        <v>48713430.670000002</v>
      </c>
    </row>
    <row r="86" spans="1:7" x14ac:dyDescent="0.25">
      <c r="A86" s="1">
        <v>45292</v>
      </c>
      <c r="B86" t="s">
        <v>7</v>
      </c>
      <c r="C86" t="s">
        <v>99</v>
      </c>
      <c r="D86" t="s">
        <v>100</v>
      </c>
      <c r="E86">
        <v>66401620.990000002</v>
      </c>
      <c r="F86">
        <v>12339083.859999999</v>
      </c>
      <c r="G86">
        <v>76149077.780000001</v>
      </c>
    </row>
    <row r="87" spans="1:7" x14ac:dyDescent="0.25">
      <c r="A87" s="1">
        <v>45413</v>
      </c>
      <c r="B87" t="s">
        <v>7</v>
      </c>
      <c r="C87" t="s">
        <v>99</v>
      </c>
      <c r="D87" t="s">
        <v>101</v>
      </c>
      <c r="E87">
        <v>92472024.340000004</v>
      </c>
      <c r="F87">
        <v>77395737.219999999</v>
      </c>
      <c r="G87">
        <v>3541532.58</v>
      </c>
    </row>
    <row r="88" spans="1:7" x14ac:dyDescent="0.25">
      <c r="A88" s="1">
        <v>45352</v>
      </c>
      <c r="B88" t="s">
        <v>7</v>
      </c>
      <c r="C88" t="s">
        <v>99</v>
      </c>
      <c r="D88" t="s">
        <v>102</v>
      </c>
      <c r="E88">
        <v>75161657.099999994</v>
      </c>
      <c r="F88">
        <v>73224035.530000001</v>
      </c>
      <c r="G88">
        <v>9538666.3699999992</v>
      </c>
    </row>
    <row r="89" spans="1:7" x14ac:dyDescent="0.25">
      <c r="A89" s="1">
        <v>45627</v>
      </c>
      <c r="B89" t="s">
        <v>7</v>
      </c>
      <c r="C89" t="s">
        <v>99</v>
      </c>
      <c r="D89" t="s">
        <v>103</v>
      </c>
      <c r="E89">
        <v>97599555.159999996</v>
      </c>
      <c r="F89">
        <v>109972221.76000001</v>
      </c>
      <c r="G89">
        <v>1197211.55</v>
      </c>
    </row>
    <row r="90" spans="1:7" x14ac:dyDescent="0.25">
      <c r="A90" s="1">
        <v>45505</v>
      </c>
      <c r="B90" t="s">
        <v>7</v>
      </c>
      <c r="C90" t="s">
        <v>99</v>
      </c>
      <c r="D90" t="s">
        <v>104</v>
      </c>
      <c r="E90">
        <v>81159281.900000006</v>
      </c>
      <c r="F90">
        <v>75807339.359999999</v>
      </c>
      <c r="G90">
        <v>1233702.97</v>
      </c>
    </row>
    <row r="91" spans="1:7" x14ac:dyDescent="0.25">
      <c r="A91" s="1">
        <v>45536</v>
      </c>
      <c r="B91" t="s">
        <v>7</v>
      </c>
      <c r="C91" t="s">
        <v>99</v>
      </c>
      <c r="D91" t="s">
        <v>105</v>
      </c>
      <c r="E91">
        <v>78028275.5</v>
      </c>
      <c r="F91">
        <v>84586510.969999999</v>
      </c>
      <c r="G91">
        <v>993013.18</v>
      </c>
    </row>
    <row r="92" spans="1:7" x14ac:dyDescent="0.25">
      <c r="A92" s="1">
        <v>45566</v>
      </c>
      <c r="B92" t="s">
        <v>7</v>
      </c>
      <c r="C92" t="s">
        <v>99</v>
      </c>
      <c r="D92" t="s">
        <v>106</v>
      </c>
      <c r="E92">
        <v>81010274.489999995</v>
      </c>
      <c r="F92">
        <v>80609474.629999995</v>
      </c>
      <c r="G92">
        <v>664365.88</v>
      </c>
    </row>
    <row r="93" spans="1:7" x14ac:dyDescent="0.25">
      <c r="A93" s="1">
        <v>45383</v>
      </c>
      <c r="B93" t="s">
        <v>7</v>
      </c>
      <c r="C93" t="s">
        <v>99</v>
      </c>
      <c r="D93" t="s">
        <v>107</v>
      </c>
      <c r="E93">
        <v>76169584.120000005</v>
      </c>
      <c r="F93">
        <v>79164542.239999995</v>
      </c>
      <c r="G93">
        <v>8656662.9000000004</v>
      </c>
    </row>
    <row r="94" spans="1:7" x14ac:dyDescent="0.25">
      <c r="A94" s="1">
        <v>45474</v>
      </c>
      <c r="B94" t="s">
        <v>7</v>
      </c>
      <c r="C94" t="s">
        <v>99</v>
      </c>
      <c r="D94" t="s">
        <v>108</v>
      </c>
      <c r="E94">
        <v>78290490.760000005</v>
      </c>
      <c r="F94">
        <v>102083593.47</v>
      </c>
      <c r="G94">
        <v>3863696.96</v>
      </c>
    </row>
    <row r="95" spans="1:7" x14ac:dyDescent="0.25">
      <c r="A95" s="1">
        <v>45597</v>
      </c>
      <c r="B95" t="s">
        <v>7</v>
      </c>
      <c r="C95" t="s">
        <v>99</v>
      </c>
      <c r="D95" t="s">
        <v>109</v>
      </c>
      <c r="E95">
        <v>120028169.81</v>
      </c>
      <c r="F95">
        <v>89736066.319999993</v>
      </c>
      <c r="G95">
        <v>1308150.22</v>
      </c>
    </row>
    <row r="96" spans="1:7" x14ac:dyDescent="0.25">
      <c r="A96" s="1">
        <v>45444</v>
      </c>
      <c r="B96" t="s">
        <v>7</v>
      </c>
      <c r="C96" t="s">
        <v>99</v>
      </c>
      <c r="D96" t="s">
        <v>110</v>
      </c>
      <c r="E96">
        <v>101474790.13</v>
      </c>
      <c r="F96">
        <v>89411938.870000005</v>
      </c>
      <c r="G96">
        <v>1697098.04</v>
      </c>
    </row>
    <row r="97" spans="1:7" x14ac:dyDescent="0.25">
      <c r="A97" s="1">
        <v>45323</v>
      </c>
      <c r="B97" t="s">
        <v>7</v>
      </c>
      <c r="C97" t="s">
        <v>99</v>
      </c>
      <c r="D97" t="s">
        <v>111</v>
      </c>
      <c r="E97">
        <v>72099151.980000004</v>
      </c>
      <c r="F97">
        <v>63693761.960000001</v>
      </c>
      <c r="G97">
        <v>15366415.550000001</v>
      </c>
    </row>
    <row r="98" spans="1:7" x14ac:dyDescent="0.25">
      <c r="A98" s="1">
        <v>45413</v>
      </c>
      <c r="B98" t="s">
        <v>7</v>
      </c>
      <c r="C98" t="s">
        <v>112</v>
      </c>
      <c r="D98" t="s">
        <v>113</v>
      </c>
      <c r="E98">
        <v>92855294.019999996</v>
      </c>
      <c r="F98">
        <v>93279620.730000004</v>
      </c>
      <c r="G98">
        <v>2102010.12</v>
      </c>
    </row>
    <row r="99" spans="1:7" x14ac:dyDescent="0.25">
      <c r="A99" s="1">
        <v>45444</v>
      </c>
      <c r="B99" t="s">
        <v>7</v>
      </c>
      <c r="C99" t="s">
        <v>112</v>
      </c>
      <c r="D99" t="s">
        <v>114</v>
      </c>
      <c r="E99">
        <v>112896526.64</v>
      </c>
      <c r="F99">
        <v>91493981.989999995</v>
      </c>
      <c r="G99">
        <v>1876768.66</v>
      </c>
    </row>
    <row r="100" spans="1:7" x14ac:dyDescent="0.25">
      <c r="A100" s="1">
        <v>45383</v>
      </c>
      <c r="B100" t="s">
        <v>7</v>
      </c>
      <c r="C100" t="s">
        <v>112</v>
      </c>
      <c r="D100" t="s">
        <v>115</v>
      </c>
      <c r="E100">
        <v>92017543.359999999</v>
      </c>
      <c r="F100">
        <v>83530479.239999995</v>
      </c>
      <c r="G100">
        <v>11289076.34</v>
      </c>
    </row>
    <row r="101" spans="1:7" x14ac:dyDescent="0.25">
      <c r="A101" s="1">
        <v>45474</v>
      </c>
      <c r="B101" t="s">
        <v>7</v>
      </c>
      <c r="C101" t="s">
        <v>112</v>
      </c>
      <c r="D101" t="s">
        <v>116</v>
      </c>
      <c r="E101">
        <v>89544122.370000005</v>
      </c>
      <c r="F101">
        <v>113310126.84999999</v>
      </c>
      <c r="G101">
        <v>1529786.36</v>
      </c>
    </row>
    <row r="102" spans="1:7" x14ac:dyDescent="0.25">
      <c r="A102" s="1">
        <v>45352</v>
      </c>
      <c r="B102" t="s">
        <v>7</v>
      </c>
      <c r="C102" t="s">
        <v>112</v>
      </c>
      <c r="D102" t="s">
        <v>117</v>
      </c>
      <c r="E102">
        <v>82716104.609999999</v>
      </c>
      <c r="F102">
        <v>85334419.379999995</v>
      </c>
      <c r="G102">
        <v>5379887.8099999996</v>
      </c>
    </row>
    <row r="103" spans="1:7" x14ac:dyDescent="0.25">
      <c r="A103" s="1">
        <v>45536</v>
      </c>
      <c r="B103" t="s">
        <v>7</v>
      </c>
      <c r="C103" t="s">
        <v>112</v>
      </c>
      <c r="D103" t="s">
        <v>118</v>
      </c>
      <c r="E103">
        <v>87978724.450000003</v>
      </c>
      <c r="F103">
        <v>92512060.719999999</v>
      </c>
      <c r="G103">
        <v>308301.73</v>
      </c>
    </row>
    <row r="104" spans="1:7" x14ac:dyDescent="0.25">
      <c r="A104" s="1">
        <v>45566</v>
      </c>
      <c r="B104" t="s">
        <v>7</v>
      </c>
      <c r="C104" t="s">
        <v>112</v>
      </c>
      <c r="D104" t="s">
        <v>119</v>
      </c>
      <c r="E104">
        <v>87805855.349999994</v>
      </c>
      <c r="F104">
        <v>87417961.950000003</v>
      </c>
      <c r="G104">
        <v>784981.98</v>
      </c>
    </row>
    <row r="105" spans="1:7" x14ac:dyDescent="0.25">
      <c r="A105" s="1">
        <v>45505</v>
      </c>
      <c r="B105" t="s">
        <v>7</v>
      </c>
      <c r="C105" t="s">
        <v>112</v>
      </c>
      <c r="D105" t="s">
        <v>120</v>
      </c>
      <c r="E105">
        <v>100334230.95999999</v>
      </c>
      <c r="F105">
        <v>93189121.25</v>
      </c>
      <c r="G105">
        <v>709452.36</v>
      </c>
    </row>
    <row r="106" spans="1:7" x14ac:dyDescent="0.25">
      <c r="A106" s="1">
        <v>45323</v>
      </c>
      <c r="B106" t="s">
        <v>7</v>
      </c>
      <c r="C106" t="s">
        <v>112</v>
      </c>
      <c r="D106" t="s">
        <v>121</v>
      </c>
      <c r="E106">
        <v>86435783.049999997</v>
      </c>
      <c r="F106">
        <v>81996113.680000007</v>
      </c>
      <c r="G106">
        <v>5305793.95</v>
      </c>
    </row>
    <row r="107" spans="1:7" x14ac:dyDescent="0.25">
      <c r="A107" s="1">
        <v>45627</v>
      </c>
      <c r="B107" t="s">
        <v>7</v>
      </c>
      <c r="C107" t="s">
        <v>112</v>
      </c>
      <c r="D107" t="s">
        <v>122</v>
      </c>
      <c r="E107">
        <v>105008005.06999999</v>
      </c>
      <c r="F107">
        <v>124427698.17</v>
      </c>
      <c r="G107">
        <v>253079.25</v>
      </c>
    </row>
    <row r="108" spans="1:7" x14ac:dyDescent="0.25">
      <c r="A108" s="1">
        <v>45597</v>
      </c>
      <c r="B108" t="s">
        <v>7</v>
      </c>
      <c r="C108" t="s">
        <v>112</v>
      </c>
      <c r="D108" t="s">
        <v>123</v>
      </c>
      <c r="E108">
        <v>126914662.43000001</v>
      </c>
      <c r="F108">
        <v>102538044.23999999</v>
      </c>
      <c r="G108">
        <v>177537.39</v>
      </c>
    </row>
    <row r="109" spans="1:7" x14ac:dyDescent="0.25">
      <c r="A109" s="1">
        <v>45292</v>
      </c>
      <c r="B109" t="s">
        <v>7</v>
      </c>
      <c r="C109" t="s">
        <v>112</v>
      </c>
      <c r="D109" t="s">
        <v>124</v>
      </c>
      <c r="E109">
        <v>80193644.310000002</v>
      </c>
      <c r="F109">
        <v>17033444.379999999</v>
      </c>
      <c r="G109">
        <v>77764078.120000005</v>
      </c>
    </row>
    <row r="110" spans="1:7" x14ac:dyDescent="0.25">
      <c r="A110" s="1">
        <v>45444</v>
      </c>
      <c r="B110" t="s">
        <v>7</v>
      </c>
      <c r="C110" t="s">
        <v>125</v>
      </c>
      <c r="D110" t="s">
        <v>126</v>
      </c>
      <c r="E110">
        <v>34495666.710000001</v>
      </c>
      <c r="F110">
        <v>26428754.32</v>
      </c>
      <c r="G110">
        <v>1667091.1</v>
      </c>
    </row>
    <row r="111" spans="1:7" x14ac:dyDescent="0.25">
      <c r="A111" s="1">
        <v>45413</v>
      </c>
      <c r="B111" t="s">
        <v>7</v>
      </c>
      <c r="C111" t="s">
        <v>125</v>
      </c>
      <c r="D111" t="s">
        <v>127</v>
      </c>
      <c r="E111">
        <v>25978199.280000001</v>
      </c>
      <c r="F111">
        <v>23885479.329999998</v>
      </c>
      <c r="G111">
        <v>2365898.2799999998</v>
      </c>
    </row>
    <row r="112" spans="1:7" x14ac:dyDescent="0.25">
      <c r="A112" s="1">
        <v>45505</v>
      </c>
      <c r="B112" t="s">
        <v>7</v>
      </c>
      <c r="C112" t="s">
        <v>125</v>
      </c>
      <c r="D112" t="s">
        <v>128</v>
      </c>
      <c r="E112">
        <v>27814891.73</v>
      </c>
      <c r="F112">
        <v>27054196.129999999</v>
      </c>
      <c r="G112">
        <v>1149466.29</v>
      </c>
    </row>
    <row r="113" spans="1:7" x14ac:dyDescent="0.25">
      <c r="A113" s="1">
        <v>45597</v>
      </c>
      <c r="B113" t="s">
        <v>7</v>
      </c>
      <c r="C113" t="s">
        <v>125</v>
      </c>
      <c r="D113" t="s">
        <v>129</v>
      </c>
      <c r="E113">
        <v>41800098.640000001</v>
      </c>
      <c r="F113">
        <v>33189821.91</v>
      </c>
      <c r="G113">
        <v>5507103.4299999997</v>
      </c>
    </row>
    <row r="114" spans="1:7" x14ac:dyDescent="0.25">
      <c r="A114" s="1">
        <v>45352</v>
      </c>
      <c r="B114" t="s">
        <v>7</v>
      </c>
      <c r="C114" t="s">
        <v>125</v>
      </c>
      <c r="D114" t="s">
        <v>130</v>
      </c>
      <c r="E114">
        <v>23563876.59</v>
      </c>
      <c r="F114">
        <v>23682555.559999999</v>
      </c>
      <c r="G114">
        <v>5493842.3600000003</v>
      </c>
    </row>
    <row r="115" spans="1:7" x14ac:dyDescent="0.25">
      <c r="A115" s="1">
        <v>45323</v>
      </c>
      <c r="B115" t="s">
        <v>7</v>
      </c>
      <c r="C115" t="s">
        <v>125</v>
      </c>
      <c r="D115" t="s">
        <v>131</v>
      </c>
      <c r="E115">
        <v>23627219.489999998</v>
      </c>
      <c r="F115">
        <v>21037792.280000001</v>
      </c>
      <c r="G115">
        <v>6712673.9000000004</v>
      </c>
    </row>
    <row r="116" spans="1:7" x14ac:dyDescent="0.25">
      <c r="A116" s="1">
        <v>45383</v>
      </c>
      <c r="B116" t="s">
        <v>7</v>
      </c>
      <c r="C116" t="s">
        <v>125</v>
      </c>
      <c r="D116" t="s">
        <v>132</v>
      </c>
      <c r="E116">
        <v>23762623.109999999</v>
      </c>
      <c r="F116">
        <v>23681751.210000001</v>
      </c>
      <c r="G116">
        <v>2956171.67</v>
      </c>
    </row>
    <row r="117" spans="1:7" x14ac:dyDescent="0.25">
      <c r="A117" s="1">
        <v>45627</v>
      </c>
      <c r="B117" t="s">
        <v>7</v>
      </c>
      <c r="C117" t="s">
        <v>125</v>
      </c>
      <c r="D117" t="s">
        <v>133</v>
      </c>
      <c r="E117">
        <v>33238226.530000001</v>
      </c>
      <c r="F117">
        <v>36128124.009999998</v>
      </c>
      <c r="G117">
        <v>1940645.1</v>
      </c>
    </row>
    <row r="118" spans="1:7" x14ac:dyDescent="0.25">
      <c r="A118" s="1">
        <v>45474</v>
      </c>
      <c r="B118" t="s">
        <v>7</v>
      </c>
      <c r="C118" t="s">
        <v>125</v>
      </c>
      <c r="D118" t="s">
        <v>134</v>
      </c>
      <c r="E118">
        <v>28730634.809999999</v>
      </c>
      <c r="F118">
        <v>35722862.340000004</v>
      </c>
      <c r="G118">
        <v>2401408.75</v>
      </c>
    </row>
    <row r="119" spans="1:7" x14ac:dyDescent="0.25">
      <c r="A119" s="1">
        <v>45292</v>
      </c>
      <c r="B119" t="s">
        <v>7</v>
      </c>
      <c r="C119" t="s">
        <v>125</v>
      </c>
      <c r="D119" t="s">
        <v>135</v>
      </c>
      <c r="E119">
        <v>23766182.07</v>
      </c>
      <c r="F119">
        <v>5064967.41</v>
      </c>
      <c r="G119">
        <v>26807504.969999999</v>
      </c>
    </row>
    <row r="120" spans="1:7" x14ac:dyDescent="0.25">
      <c r="A120" s="1">
        <v>45566</v>
      </c>
      <c r="B120" t="s">
        <v>7</v>
      </c>
      <c r="C120" t="s">
        <v>125</v>
      </c>
      <c r="D120" t="s">
        <v>136</v>
      </c>
      <c r="E120">
        <v>27795566.870000001</v>
      </c>
      <c r="F120">
        <v>26505177.41</v>
      </c>
      <c r="G120">
        <v>1731045.17</v>
      </c>
    </row>
    <row r="121" spans="1:7" x14ac:dyDescent="0.25">
      <c r="A121" s="1">
        <v>45536</v>
      </c>
      <c r="B121" t="s">
        <v>7</v>
      </c>
      <c r="C121" t="s">
        <v>125</v>
      </c>
      <c r="D121" t="s">
        <v>137</v>
      </c>
      <c r="E121">
        <v>27525687.84</v>
      </c>
      <c r="F121">
        <v>28641616.510000002</v>
      </c>
      <c r="G121">
        <v>1992879.99</v>
      </c>
    </row>
    <row r="122" spans="1:7" x14ac:dyDescent="0.25">
      <c r="A122" s="1">
        <v>45444</v>
      </c>
      <c r="B122" t="s">
        <v>7</v>
      </c>
      <c r="C122" t="s">
        <v>138</v>
      </c>
      <c r="D122" t="s">
        <v>139</v>
      </c>
      <c r="E122">
        <v>20329297.219999999</v>
      </c>
      <c r="F122">
        <v>17424886.23</v>
      </c>
      <c r="G122">
        <v>271072.11</v>
      </c>
    </row>
    <row r="123" spans="1:7" x14ac:dyDescent="0.25">
      <c r="A123" s="1">
        <v>45323</v>
      </c>
      <c r="B123" t="s">
        <v>7</v>
      </c>
      <c r="C123" t="s">
        <v>138</v>
      </c>
      <c r="D123" t="s">
        <v>140</v>
      </c>
      <c r="E123">
        <v>14502425.68</v>
      </c>
      <c r="F123">
        <v>13280938.26</v>
      </c>
      <c r="G123">
        <v>3619703.87</v>
      </c>
    </row>
    <row r="124" spans="1:7" x14ac:dyDescent="0.25">
      <c r="A124" s="1">
        <v>45597</v>
      </c>
      <c r="B124" t="s">
        <v>7</v>
      </c>
      <c r="C124" t="s">
        <v>138</v>
      </c>
      <c r="D124" t="s">
        <v>141</v>
      </c>
      <c r="E124">
        <v>23468452.57</v>
      </c>
      <c r="F124">
        <v>20033205.960000001</v>
      </c>
      <c r="G124">
        <v>340870.77</v>
      </c>
    </row>
    <row r="125" spans="1:7" x14ac:dyDescent="0.25">
      <c r="A125" s="1">
        <v>45566</v>
      </c>
      <c r="B125" t="s">
        <v>7</v>
      </c>
      <c r="C125" t="s">
        <v>138</v>
      </c>
      <c r="D125" t="s">
        <v>142</v>
      </c>
      <c r="E125">
        <v>17801386.170000002</v>
      </c>
      <c r="F125">
        <v>17940513.059999999</v>
      </c>
      <c r="G125">
        <v>215406.37</v>
      </c>
    </row>
    <row r="126" spans="1:7" x14ac:dyDescent="0.25">
      <c r="A126" s="1">
        <v>45383</v>
      </c>
      <c r="B126" t="s">
        <v>7</v>
      </c>
      <c r="C126" t="s">
        <v>138</v>
      </c>
      <c r="D126" t="s">
        <v>143</v>
      </c>
      <c r="E126">
        <v>16597322.369999999</v>
      </c>
      <c r="F126">
        <v>16129250.380000001</v>
      </c>
      <c r="G126">
        <v>620809.52</v>
      </c>
    </row>
    <row r="127" spans="1:7" x14ac:dyDescent="0.25">
      <c r="A127" s="1">
        <v>45536</v>
      </c>
      <c r="B127" t="s">
        <v>7</v>
      </c>
      <c r="C127" t="s">
        <v>138</v>
      </c>
      <c r="D127" t="s">
        <v>144</v>
      </c>
      <c r="E127">
        <v>17164852.649999999</v>
      </c>
      <c r="F127">
        <v>16968240.25</v>
      </c>
      <c r="G127">
        <v>650179.53</v>
      </c>
    </row>
    <row r="128" spans="1:7" x14ac:dyDescent="0.25">
      <c r="A128" s="1">
        <v>45292</v>
      </c>
      <c r="B128" t="s">
        <v>7</v>
      </c>
      <c r="C128" t="s">
        <v>138</v>
      </c>
      <c r="D128" t="s">
        <v>145</v>
      </c>
      <c r="E128">
        <v>14593365.5</v>
      </c>
      <c r="F128">
        <v>2266510.83</v>
      </c>
      <c r="G128">
        <v>15683401.83</v>
      </c>
    </row>
    <row r="129" spans="1:7" x14ac:dyDescent="0.25">
      <c r="A129" s="1">
        <v>45352</v>
      </c>
      <c r="B129" t="s">
        <v>7</v>
      </c>
      <c r="C129" t="s">
        <v>138</v>
      </c>
      <c r="D129" t="s">
        <v>146</v>
      </c>
      <c r="E129">
        <v>15146641.85</v>
      </c>
      <c r="F129">
        <v>14846126.6</v>
      </c>
      <c r="G129">
        <v>1185940.42</v>
      </c>
    </row>
    <row r="130" spans="1:7" x14ac:dyDescent="0.25">
      <c r="A130" s="1">
        <v>45505</v>
      </c>
      <c r="B130" t="s">
        <v>7</v>
      </c>
      <c r="C130" t="s">
        <v>138</v>
      </c>
      <c r="D130" t="s">
        <v>147</v>
      </c>
      <c r="E130">
        <v>17215845.399999999</v>
      </c>
      <c r="F130">
        <v>17025542.629999999</v>
      </c>
      <c r="G130">
        <v>641393.78</v>
      </c>
    </row>
    <row r="131" spans="1:7" x14ac:dyDescent="0.25">
      <c r="A131" s="1">
        <v>45627</v>
      </c>
      <c r="B131" t="s">
        <v>7</v>
      </c>
      <c r="C131" t="s">
        <v>138</v>
      </c>
      <c r="D131" t="s">
        <v>148</v>
      </c>
      <c r="E131">
        <v>20065328.170000002</v>
      </c>
      <c r="F131">
        <v>21402960.620000001</v>
      </c>
      <c r="G131">
        <v>132615.92000000001</v>
      </c>
    </row>
    <row r="132" spans="1:7" x14ac:dyDescent="0.25">
      <c r="A132" s="1">
        <v>45413</v>
      </c>
      <c r="B132" t="s">
        <v>7</v>
      </c>
      <c r="C132" t="s">
        <v>138</v>
      </c>
      <c r="D132" t="s">
        <v>149</v>
      </c>
      <c r="E132">
        <v>18022642.149999999</v>
      </c>
      <c r="F132">
        <v>16507256.859999999</v>
      </c>
      <c r="G132">
        <v>1011811.61</v>
      </c>
    </row>
    <row r="133" spans="1:7" x14ac:dyDescent="0.25">
      <c r="A133" s="1">
        <v>45474</v>
      </c>
      <c r="B133" t="s">
        <v>7</v>
      </c>
      <c r="C133" t="s">
        <v>138</v>
      </c>
      <c r="D133" t="s">
        <v>150</v>
      </c>
      <c r="E133">
        <v>16550683.52</v>
      </c>
      <c r="F133">
        <v>20503686.41</v>
      </c>
      <c r="G133">
        <v>61462.07</v>
      </c>
    </row>
    <row r="134" spans="1:7" x14ac:dyDescent="0.25">
      <c r="A134" s="1">
        <v>45505</v>
      </c>
      <c r="B134" t="s">
        <v>7</v>
      </c>
      <c r="C134" t="s">
        <v>151</v>
      </c>
      <c r="D134" t="s">
        <v>152</v>
      </c>
      <c r="E134">
        <v>78178280.019999996</v>
      </c>
      <c r="F134">
        <v>79421287.730000004</v>
      </c>
      <c r="G134">
        <v>410033.78</v>
      </c>
    </row>
    <row r="135" spans="1:7" x14ac:dyDescent="0.25">
      <c r="A135" s="1">
        <v>45474</v>
      </c>
      <c r="B135" t="s">
        <v>7</v>
      </c>
      <c r="C135" t="s">
        <v>151</v>
      </c>
      <c r="D135" t="s">
        <v>153</v>
      </c>
      <c r="E135">
        <v>79012919.209999993</v>
      </c>
      <c r="F135">
        <v>97494790.670000002</v>
      </c>
      <c r="G135">
        <v>544990.77</v>
      </c>
    </row>
    <row r="136" spans="1:7" x14ac:dyDescent="0.25">
      <c r="A136" s="1">
        <v>45444</v>
      </c>
      <c r="B136" t="s">
        <v>7</v>
      </c>
      <c r="C136" t="s">
        <v>151</v>
      </c>
      <c r="D136" t="s">
        <v>154</v>
      </c>
      <c r="E136">
        <v>97411097.780000001</v>
      </c>
      <c r="F136">
        <v>82836548.909999996</v>
      </c>
      <c r="G136">
        <v>505221.91</v>
      </c>
    </row>
    <row r="137" spans="1:7" x14ac:dyDescent="0.25">
      <c r="A137" s="1">
        <v>45597</v>
      </c>
      <c r="B137" t="s">
        <v>7</v>
      </c>
      <c r="C137" t="s">
        <v>151</v>
      </c>
      <c r="D137" t="s">
        <v>155</v>
      </c>
      <c r="E137">
        <v>113297733.67</v>
      </c>
      <c r="F137">
        <v>91071362.909999996</v>
      </c>
      <c r="G137">
        <v>166117.20000000001</v>
      </c>
    </row>
    <row r="138" spans="1:7" x14ac:dyDescent="0.25">
      <c r="A138" s="1">
        <v>45536</v>
      </c>
      <c r="B138" t="s">
        <v>7</v>
      </c>
      <c r="C138" t="s">
        <v>151</v>
      </c>
      <c r="D138" t="s">
        <v>156</v>
      </c>
      <c r="E138">
        <v>80312484.370000005</v>
      </c>
      <c r="F138">
        <v>79109748.560000002</v>
      </c>
      <c r="G138">
        <v>376324.93</v>
      </c>
    </row>
    <row r="139" spans="1:7" x14ac:dyDescent="0.25">
      <c r="A139" s="1">
        <v>45323</v>
      </c>
      <c r="B139" t="s">
        <v>7</v>
      </c>
      <c r="C139" t="s">
        <v>151</v>
      </c>
      <c r="D139" t="s">
        <v>157</v>
      </c>
      <c r="E139">
        <v>75102037.540000007</v>
      </c>
      <c r="F139">
        <v>66530714.5</v>
      </c>
      <c r="G139">
        <v>16694681.82</v>
      </c>
    </row>
    <row r="140" spans="1:7" x14ac:dyDescent="0.25">
      <c r="A140" s="1">
        <v>45292</v>
      </c>
      <c r="B140" t="s">
        <v>7</v>
      </c>
      <c r="C140" t="s">
        <v>151</v>
      </c>
      <c r="D140" t="s">
        <v>158</v>
      </c>
      <c r="E140">
        <v>72131108.239999995</v>
      </c>
      <c r="F140">
        <v>13119936.289999999</v>
      </c>
      <c r="G140">
        <v>81648990.900000006</v>
      </c>
    </row>
    <row r="141" spans="1:7" x14ac:dyDescent="0.25">
      <c r="A141" s="1">
        <v>45352</v>
      </c>
      <c r="B141" t="s">
        <v>7</v>
      </c>
      <c r="C141" t="s">
        <v>151</v>
      </c>
      <c r="D141" t="s">
        <v>159</v>
      </c>
      <c r="E141">
        <v>76595044.560000002</v>
      </c>
      <c r="F141">
        <v>75553113.390000001</v>
      </c>
      <c r="G141">
        <v>2285847.19</v>
      </c>
    </row>
    <row r="142" spans="1:7" x14ac:dyDescent="0.25">
      <c r="A142" s="1">
        <v>45566</v>
      </c>
      <c r="B142" t="s">
        <v>7</v>
      </c>
      <c r="C142" t="s">
        <v>151</v>
      </c>
      <c r="D142" t="s">
        <v>160</v>
      </c>
      <c r="E142">
        <v>80898367.700000003</v>
      </c>
      <c r="F142">
        <v>80924132.609999999</v>
      </c>
      <c r="G142">
        <v>384059.52</v>
      </c>
    </row>
    <row r="143" spans="1:7" x14ac:dyDescent="0.25">
      <c r="A143" s="1">
        <v>45383</v>
      </c>
      <c r="B143" t="s">
        <v>7</v>
      </c>
      <c r="C143" t="s">
        <v>151</v>
      </c>
      <c r="D143" t="s">
        <v>161</v>
      </c>
      <c r="E143">
        <v>73299970.260000005</v>
      </c>
      <c r="F143">
        <v>74675559.280000001</v>
      </c>
      <c r="G143">
        <v>1552145.07</v>
      </c>
    </row>
    <row r="144" spans="1:7" x14ac:dyDescent="0.25">
      <c r="A144" s="1">
        <v>45627</v>
      </c>
      <c r="B144" t="s">
        <v>7</v>
      </c>
      <c r="C144" t="s">
        <v>151</v>
      </c>
      <c r="D144" t="s">
        <v>162</v>
      </c>
      <c r="E144">
        <v>94936712</v>
      </c>
      <c r="F144">
        <v>96412969.969999999</v>
      </c>
      <c r="G144">
        <v>1073949.1599999999</v>
      </c>
    </row>
    <row r="145" spans="1:7" x14ac:dyDescent="0.25">
      <c r="A145" s="1">
        <v>45413</v>
      </c>
      <c r="B145" t="s">
        <v>7</v>
      </c>
      <c r="C145" t="s">
        <v>151</v>
      </c>
      <c r="D145" t="s">
        <v>163</v>
      </c>
      <c r="E145">
        <v>83295188.640000001</v>
      </c>
      <c r="F145">
        <v>75435744.909999996</v>
      </c>
      <c r="G145">
        <v>10302906.42</v>
      </c>
    </row>
    <row r="146" spans="1:7" x14ac:dyDescent="0.25">
      <c r="A146" s="1">
        <v>45505</v>
      </c>
      <c r="B146" t="s">
        <v>7</v>
      </c>
      <c r="C146" t="s">
        <v>164</v>
      </c>
      <c r="D146" t="s">
        <v>165</v>
      </c>
      <c r="E146">
        <v>28628742.370000001</v>
      </c>
      <c r="F146">
        <v>28733451.43</v>
      </c>
      <c r="G146">
        <v>2050004.35</v>
      </c>
    </row>
    <row r="147" spans="1:7" x14ac:dyDescent="0.25">
      <c r="A147" s="1">
        <v>45383</v>
      </c>
      <c r="B147" t="s">
        <v>7</v>
      </c>
      <c r="C147" t="s">
        <v>164</v>
      </c>
      <c r="D147" t="s">
        <v>166</v>
      </c>
      <c r="E147">
        <v>26534065.969999999</v>
      </c>
      <c r="F147">
        <v>25698603.329999998</v>
      </c>
      <c r="G147">
        <v>4181412.6</v>
      </c>
    </row>
    <row r="148" spans="1:7" x14ac:dyDescent="0.25">
      <c r="A148" s="1">
        <v>45597</v>
      </c>
      <c r="B148" t="s">
        <v>7</v>
      </c>
      <c r="C148" t="s">
        <v>164</v>
      </c>
      <c r="D148" t="s">
        <v>167</v>
      </c>
      <c r="E148">
        <v>43141563.579999998</v>
      </c>
      <c r="F148">
        <v>36768032.700000003</v>
      </c>
      <c r="G148">
        <v>1263423.92</v>
      </c>
    </row>
    <row r="149" spans="1:7" x14ac:dyDescent="0.25">
      <c r="A149" s="1">
        <v>45323</v>
      </c>
      <c r="B149" t="s">
        <v>7</v>
      </c>
      <c r="C149" t="s">
        <v>164</v>
      </c>
      <c r="D149" t="s">
        <v>168</v>
      </c>
      <c r="E149">
        <v>24276378.260000002</v>
      </c>
      <c r="F149">
        <v>21495821.420000002</v>
      </c>
      <c r="G149">
        <v>7217364.1299999999</v>
      </c>
    </row>
    <row r="150" spans="1:7" x14ac:dyDescent="0.25">
      <c r="A150" s="1">
        <v>45627</v>
      </c>
      <c r="B150" t="s">
        <v>7</v>
      </c>
      <c r="C150" t="s">
        <v>164</v>
      </c>
      <c r="D150" t="s">
        <v>169</v>
      </c>
      <c r="E150">
        <v>36568751.009999998</v>
      </c>
      <c r="F150">
        <v>37287053.75</v>
      </c>
      <c r="G150">
        <v>1438824.47</v>
      </c>
    </row>
    <row r="151" spans="1:7" x14ac:dyDescent="0.25">
      <c r="A151" s="1">
        <v>45413</v>
      </c>
      <c r="B151" t="s">
        <v>7</v>
      </c>
      <c r="C151" t="s">
        <v>164</v>
      </c>
      <c r="D151" t="s">
        <v>170</v>
      </c>
      <c r="E151">
        <v>31396850.109999999</v>
      </c>
      <c r="F151">
        <v>27196787.710000001</v>
      </c>
      <c r="G151">
        <v>2065271.85</v>
      </c>
    </row>
    <row r="152" spans="1:7" x14ac:dyDescent="0.25">
      <c r="A152" s="1">
        <v>45352</v>
      </c>
      <c r="B152" t="s">
        <v>7</v>
      </c>
      <c r="C152" t="s">
        <v>164</v>
      </c>
      <c r="D152" t="s">
        <v>171</v>
      </c>
      <c r="E152">
        <v>25101438.649999999</v>
      </c>
      <c r="F152">
        <v>24597939.329999998</v>
      </c>
      <c r="G152">
        <v>3807231.84</v>
      </c>
    </row>
    <row r="153" spans="1:7" x14ac:dyDescent="0.25">
      <c r="A153" s="1">
        <v>45536</v>
      </c>
      <c r="B153" t="s">
        <v>7</v>
      </c>
      <c r="C153" t="s">
        <v>164</v>
      </c>
      <c r="D153" t="s">
        <v>172</v>
      </c>
      <c r="E153">
        <v>28781363.82</v>
      </c>
      <c r="F153">
        <v>28293032.109999999</v>
      </c>
      <c r="G153">
        <v>953176.39</v>
      </c>
    </row>
    <row r="154" spans="1:7" x14ac:dyDescent="0.25">
      <c r="A154" s="1">
        <v>45292</v>
      </c>
      <c r="B154" t="s">
        <v>7</v>
      </c>
      <c r="C154" t="s">
        <v>164</v>
      </c>
      <c r="D154" t="s">
        <v>173</v>
      </c>
      <c r="E154">
        <v>24381138.809999999</v>
      </c>
      <c r="F154">
        <v>5121393.9000000004</v>
      </c>
      <c r="G154">
        <v>28853607.93</v>
      </c>
    </row>
    <row r="155" spans="1:7" x14ac:dyDescent="0.25">
      <c r="A155" s="1">
        <v>45566</v>
      </c>
      <c r="B155" t="s">
        <v>7</v>
      </c>
      <c r="C155" t="s">
        <v>164</v>
      </c>
      <c r="D155" t="s">
        <v>174</v>
      </c>
      <c r="E155">
        <v>29319195.489999998</v>
      </c>
      <c r="F155">
        <v>29610700</v>
      </c>
      <c r="G155">
        <v>1766403.77</v>
      </c>
    </row>
    <row r="156" spans="1:7" x14ac:dyDescent="0.25">
      <c r="A156" s="1">
        <v>45474</v>
      </c>
      <c r="B156" t="s">
        <v>7</v>
      </c>
      <c r="C156" t="s">
        <v>164</v>
      </c>
      <c r="D156" t="s">
        <v>175</v>
      </c>
      <c r="E156">
        <v>28076703.190000001</v>
      </c>
      <c r="F156">
        <v>35060127.420000002</v>
      </c>
      <c r="G156">
        <v>5979675.9100000001</v>
      </c>
    </row>
    <row r="157" spans="1:7" x14ac:dyDescent="0.25">
      <c r="A157" s="1">
        <v>45444</v>
      </c>
      <c r="B157" t="s">
        <v>7</v>
      </c>
      <c r="C157" t="s">
        <v>164</v>
      </c>
      <c r="D157" t="s">
        <v>176</v>
      </c>
      <c r="E157">
        <v>34763535.520000003</v>
      </c>
      <c r="F157">
        <v>28198177.93</v>
      </c>
      <c r="G157">
        <v>4109153.63</v>
      </c>
    </row>
    <row r="158" spans="1:7" x14ac:dyDescent="0.25">
      <c r="A158" s="1">
        <v>45352</v>
      </c>
      <c r="B158" t="s">
        <v>7</v>
      </c>
      <c r="C158" t="s">
        <v>177</v>
      </c>
      <c r="D158" t="s">
        <v>178</v>
      </c>
      <c r="E158">
        <v>75042716.689999998</v>
      </c>
      <c r="F158">
        <v>76016204.439999998</v>
      </c>
      <c r="G158">
        <v>3212283.27</v>
      </c>
    </row>
    <row r="159" spans="1:7" x14ac:dyDescent="0.25">
      <c r="A159" s="1">
        <v>45413</v>
      </c>
      <c r="B159" t="s">
        <v>7</v>
      </c>
      <c r="C159" t="s">
        <v>177</v>
      </c>
      <c r="D159" t="s">
        <v>179</v>
      </c>
      <c r="E159">
        <v>85344036.530000001</v>
      </c>
      <c r="F159">
        <v>78164689.329999998</v>
      </c>
      <c r="G159">
        <v>22482448.280000001</v>
      </c>
    </row>
    <row r="160" spans="1:7" x14ac:dyDescent="0.25">
      <c r="A160" s="1">
        <v>45536</v>
      </c>
      <c r="B160" t="s">
        <v>7</v>
      </c>
      <c r="C160" t="s">
        <v>177</v>
      </c>
      <c r="D160" t="s">
        <v>180</v>
      </c>
      <c r="E160">
        <v>79795912.239999995</v>
      </c>
      <c r="F160">
        <v>79912506.439999998</v>
      </c>
      <c r="G160">
        <v>725495.11</v>
      </c>
    </row>
    <row r="161" spans="1:7" x14ac:dyDescent="0.25">
      <c r="A161" s="1">
        <v>45292</v>
      </c>
      <c r="B161" t="s">
        <v>7</v>
      </c>
      <c r="C161" t="s">
        <v>177</v>
      </c>
      <c r="D161" t="s">
        <v>181</v>
      </c>
      <c r="E161">
        <v>72969937.659999996</v>
      </c>
      <c r="F161">
        <v>18198512.309999999</v>
      </c>
      <c r="G161">
        <v>65135948.670000002</v>
      </c>
    </row>
    <row r="162" spans="1:7" x14ac:dyDescent="0.25">
      <c r="A162" s="1">
        <v>45597</v>
      </c>
      <c r="B162" t="s">
        <v>7</v>
      </c>
      <c r="C162" t="s">
        <v>177</v>
      </c>
      <c r="D162" t="s">
        <v>182</v>
      </c>
      <c r="E162">
        <v>112820298.28</v>
      </c>
      <c r="F162">
        <v>93701764.280000001</v>
      </c>
      <c r="G162">
        <v>426383.65</v>
      </c>
    </row>
    <row r="163" spans="1:7" x14ac:dyDescent="0.25">
      <c r="A163" s="1">
        <v>45627</v>
      </c>
      <c r="B163" t="s">
        <v>7</v>
      </c>
      <c r="C163" t="s">
        <v>177</v>
      </c>
      <c r="D163" t="s">
        <v>183</v>
      </c>
      <c r="E163">
        <v>95467897.409999996</v>
      </c>
      <c r="F163">
        <v>111662513.91</v>
      </c>
      <c r="G163">
        <v>507595.32</v>
      </c>
    </row>
    <row r="164" spans="1:7" x14ac:dyDescent="0.25">
      <c r="A164" s="1">
        <v>45474</v>
      </c>
      <c r="B164" t="s">
        <v>7</v>
      </c>
      <c r="C164" t="s">
        <v>177</v>
      </c>
      <c r="D164" t="s">
        <v>184</v>
      </c>
      <c r="E164">
        <v>75764200.379999995</v>
      </c>
      <c r="F164">
        <v>95524572.709999993</v>
      </c>
      <c r="G164">
        <v>1076541.25</v>
      </c>
    </row>
    <row r="165" spans="1:7" x14ac:dyDescent="0.25">
      <c r="A165" s="1">
        <v>45566</v>
      </c>
      <c r="B165" t="s">
        <v>7</v>
      </c>
      <c r="C165" t="s">
        <v>177</v>
      </c>
      <c r="D165" t="s">
        <v>185</v>
      </c>
      <c r="E165">
        <v>83468327.629999995</v>
      </c>
      <c r="F165">
        <v>78926793.689999998</v>
      </c>
      <c r="G165">
        <v>954100.78</v>
      </c>
    </row>
    <row r="166" spans="1:7" x14ac:dyDescent="0.25">
      <c r="A166" s="1">
        <v>45323</v>
      </c>
      <c r="B166" t="s">
        <v>7</v>
      </c>
      <c r="C166" t="s">
        <v>177</v>
      </c>
      <c r="D166" t="s">
        <v>186</v>
      </c>
      <c r="E166">
        <v>74045972.469999999</v>
      </c>
      <c r="F166">
        <v>64680815.560000002</v>
      </c>
      <c r="G166">
        <v>12972591.960000001</v>
      </c>
    </row>
    <row r="167" spans="1:7" x14ac:dyDescent="0.25">
      <c r="A167" s="1">
        <v>45383</v>
      </c>
      <c r="B167" t="s">
        <v>7</v>
      </c>
      <c r="C167" t="s">
        <v>177</v>
      </c>
      <c r="D167" t="s">
        <v>187</v>
      </c>
      <c r="E167">
        <v>78839037.069999993</v>
      </c>
      <c r="F167">
        <v>79164457.540000007</v>
      </c>
      <c r="G167">
        <v>3243975.45</v>
      </c>
    </row>
    <row r="168" spans="1:7" x14ac:dyDescent="0.25">
      <c r="A168" s="1">
        <v>45444</v>
      </c>
      <c r="B168" t="s">
        <v>7</v>
      </c>
      <c r="C168" t="s">
        <v>177</v>
      </c>
      <c r="D168" t="s">
        <v>188</v>
      </c>
      <c r="E168">
        <v>96678406.079999998</v>
      </c>
      <c r="F168">
        <v>83371170.75</v>
      </c>
      <c r="G168">
        <v>2161050.63</v>
      </c>
    </row>
    <row r="169" spans="1:7" x14ac:dyDescent="0.25">
      <c r="A169" s="1">
        <v>45505</v>
      </c>
      <c r="B169" t="s">
        <v>7</v>
      </c>
      <c r="C169" t="s">
        <v>177</v>
      </c>
      <c r="D169" t="s">
        <v>189</v>
      </c>
      <c r="E169">
        <v>78964551</v>
      </c>
      <c r="F169">
        <v>77068142.870000005</v>
      </c>
      <c r="G169">
        <v>1038211.11</v>
      </c>
    </row>
    <row r="170" spans="1:7" x14ac:dyDescent="0.25">
      <c r="A170" s="1">
        <v>45444</v>
      </c>
      <c r="B170" t="s">
        <v>7</v>
      </c>
      <c r="C170" t="s">
        <v>190</v>
      </c>
      <c r="D170" t="s">
        <v>191</v>
      </c>
      <c r="E170">
        <v>84393490.170000002</v>
      </c>
      <c r="F170">
        <v>63509379.280000001</v>
      </c>
      <c r="G170">
        <v>1345247.37</v>
      </c>
    </row>
    <row r="171" spans="1:7" x14ac:dyDescent="0.25">
      <c r="A171" s="1">
        <v>45566</v>
      </c>
      <c r="B171" t="s">
        <v>7</v>
      </c>
      <c r="C171" t="s">
        <v>190</v>
      </c>
      <c r="D171" t="s">
        <v>192</v>
      </c>
      <c r="E171">
        <v>63684771.460000001</v>
      </c>
      <c r="F171">
        <v>64320575.189999998</v>
      </c>
      <c r="G171">
        <v>348994.14</v>
      </c>
    </row>
    <row r="172" spans="1:7" x14ac:dyDescent="0.25">
      <c r="A172" s="1">
        <v>45505</v>
      </c>
      <c r="B172" t="s">
        <v>7</v>
      </c>
      <c r="C172" t="s">
        <v>190</v>
      </c>
      <c r="D172" t="s">
        <v>193</v>
      </c>
      <c r="E172">
        <v>66699534.75</v>
      </c>
      <c r="F172">
        <v>65412624.850000001</v>
      </c>
      <c r="G172">
        <v>2636651.34</v>
      </c>
    </row>
    <row r="173" spans="1:7" x14ac:dyDescent="0.25">
      <c r="A173" s="1">
        <v>45597</v>
      </c>
      <c r="B173" t="s">
        <v>7</v>
      </c>
      <c r="C173" t="s">
        <v>190</v>
      </c>
      <c r="D173" t="s">
        <v>194</v>
      </c>
      <c r="E173">
        <v>91107956.689999998</v>
      </c>
      <c r="F173">
        <v>71904956.75</v>
      </c>
      <c r="G173">
        <v>1400069.05</v>
      </c>
    </row>
    <row r="174" spans="1:7" x14ac:dyDescent="0.25">
      <c r="A174" s="1">
        <v>45383</v>
      </c>
      <c r="B174" t="s">
        <v>7</v>
      </c>
      <c r="C174" t="s">
        <v>190</v>
      </c>
      <c r="D174" t="s">
        <v>195</v>
      </c>
      <c r="E174">
        <v>61850855.600000001</v>
      </c>
      <c r="F174">
        <v>50010049.68</v>
      </c>
      <c r="G174">
        <v>3172150.84</v>
      </c>
    </row>
    <row r="175" spans="1:7" x14ac:dyDescent="0.25">
      <c r="A175" s="1">
        <v>45627</v>
      </c>
      <c r="B175" t="s">
        <v>7</v>
      </c>
      <c r="C175" t="s">
        <v>190</v>
      </c>
      <c r="D175" t="s">
        <v>196</v>
      </c>
      <c r="E175">
        <v>82513108.370000005</v>
      </c>
      <c r="F175">
        <v>79092948.200000003</v>
      </c>
      <c r="G175">
        <v>1908577.99</v>
      </c>
    </row>
    <row r="176" spans="1:7" x14ac:dyDescent="0.25">
      <c r="A176" s="1">
        <v>45292</v>
      </c>
      <c r="B176" t="s">
        <v>7</v>
      </c>
      <c r="C176" t="s">
        <v>190</v>
      </c>
      <c r="D176" t="s">
        <v>197</v>
      </c>
      <c r="E176">
        <v>64536436.140000001</v>
      </c>
      <c r="F176">
        <v>12808025.109999999</v>
      </c>
      <c r="G176">
        <v>60053670.359999999</v>
      </c>
    </row>
    <row r="177" spans="1:7" x14ac:dyDescent="0.25">
      <c r="A177" s="1">
        <v>45536</v>
      </c>
      <c r="B177" t="s">
        <v>7</v>
      </c>
      <c r="C177" t="s">
        <v>190</v>
      </c>
      <c r="D177" t="s">
        <v>198</v>
      </c>
      <c r="E177">
        <v>61827272</v>
      </c>
      <c r="F177">
        <v>63170413.710000001</v>
      </c>
      <c r="G177">
        <v>1743657.61</v>
      </c>
    </row>
    <row r="178" spans="1:7" x14ac:dyDescent="0.25">
      <c r="A178" s="1">
        <v>45323</v>
      </c>
      <c r="B178" t="s">
        <v>7</v>
      </c>
      <c r="C178" t="s">
        <v>190</v>
      </c>
      <c r="D178" t="s">
        <v>199</v>
      </c>
      <c r="E178">
        <v>61804962.460000001</v>
      </c>
      <c r="F178">
        <v>56961950.840000004</v>
      </c>
      <c r="G178">
        <v>10623205.630000001</v>
      </c>
    </row>
    <row r="179" spans="1:7" x14ac:dyDescent="0.25">
      <c r="A179" s="1">
        <v>45413</v>
      </c>
      <c r="B179" t="s">
        <v>7</v>
      </c>
      <c r="C179" t="s">
        <v>190</v>
      </c>
      <c r="D179" t="s">
        <v>200</v>
      </c>
      <c r="E179">
        <v>62473668.409999996</v>
      </c>
      <c r="F179">
        <v>70736442.310000002</v>
      </c>
      <c r="G179">
        <v>2916178.22</v>
      </c>
    </row>
    <row r="180" spans="1:7" x14ac:dyDescent="0.25">
      <c r="A180" s="1">
        <v>45352</v>
      </c>
      <c r="B180" t="s">
        <v>7</v>
      </c>
      <c r="C180" t="s">
        <v>190</v>
      </c>
      <c r="D180" t="s">
        <v>201</v>
      </c>
      <c r="E180">
        <v>56992475.200000003</v>
      </c>
      <c r="F180">
        <v>61588055.649999999</v>
      </c>
      <c r="G180">
        <v>2904899.18</v>
      </c>
    </row>
    <row r="181" spans="1:7" x14ac:dyDescent="0.25">
      <c r="A181" s="1">
        <v>45474</v>
      </c>
      <c r="B181" t="s">
        <v>7</v>
      </c>
      <c r="C181" t="s">
        <v>190</v>
      </c>
      <c r="D181" t="s">
        <v>202</v>
      </c>
      <c r="E181">
        <v>64780948.43</v>
      </c>
      <c r="F181">
        <v>85417692.75</v>
      </c>
      <c r="G181">
        <v>2435564.77</v>
      </c>
    </row>
    <row r="182" spans="1:7" x14ac:dyDescent="0.25">
      <c r="A182" s="1">
        <v>45413</v>
      </c>
      <c r="B182" t="s">
        <v>7</v>
      </c>
      <c r="C182" t="s">
        <v>203</v>
      </c>
      <c r="D182" t="s">
        <v>204</v>
      </c>
      <c r="E182">
        <v>35294287.539999999</v>
      </c>
      <c r="F182">
        <v>32581678.5</v>
      </c>
      <c r="G182">
        <v>720038.41</v>
      </c>
    </row>
    <row r="183" spans="1:7" x14ac:dyDescent="0.25">
      <c r="A183" s="1">
        <v>45323</v>
      </c>
      <c r="B183" t="s">
        <v>7</v>
      </c>
      <c r="C183" t="s">
        <v>203</v>
      </c>
      <c r="D183" t="s">
        <v>205</v>
      </c>
      <c r="E183">
        <v>30634748.420000002</v>
      </c>
      <c r="F183">
        <v>28143254.940000001</v>
      </c>
      <c r="G183">
        <v>5241920.24</v>
      </c>
    </row>
    <row r="184" spans="1:7" x14ac:dyDescent="0.25">
      <c r="A184" s="1">
        <v>45597</v>
      </c>
      <c r="B184" t="s">
        <v>7</v>
      </c>
      <c r="C184" t="s">
        <v>203</v>
      </c>
      <c r="D184" t="s">
        <v>206</v>
      </c>
      <c r="E184">
        <v>49380905.479999997</v>
      </c>
      <c r="F184">
        <v>32319099.07</v>
      </c>
      <c r="G184">
        <v>16688.509999999998</v>
      </c>
    </row>
    <row r="185" spans="1:7" x14ac:dyDescent="0.25">
      <c r="A185" s="1">
        <v>45474</v>
      </c>
      <c r="B185" t="s">
        <v>7</v>
      </c>
      <c r="C185" t="s">
        <v>203</v>
      </c>
      <c r="D185" t="s">
        <v>207</v>
      </c>
      <c r="E185">
        <v>34702864.450000003</v>
      </c>
      <c r="F185">
        <v>43583613.609999999</v>
      </c>
      <c r="G185">
        <v>1671378.17</v>
      </c>
    </row>
    <row r="186" spans="1:7" x14ac:dyDescent="0.25">
      <c r="A186" s="1">
        <v>45536</v>
      </c>
      <c r="B186" t="s">
        <v>7</v>
      </c>
      <c r="C186" t="s">
        <v>203</v>
      </c>
      <c r="D186" t="s">
        <v>208</v>
      </c>
      <c r="E186">
        <v>32582315.710000001</v>
      </c>
      <c r="F186">
        <v>32622269.010000002</v>
      </c>
      <c r="G186">
        <v>59071.56</v>
      </c>
    </row>
    <row r="187" spans="1:7" x14ac:dyDescent="0.25">
      <c r="A187" s="1">
        <v>45627</v>
      </c>
      <c r="B187" t="s">
        <v>7</v>
      </c>
      <c r="C187" t="s">
        <v>203</v>
      </c>
      <c r="D187" t="s">
        <v>209</v>
      </c>
      <c r="E187">
        <v>40869500.369999997</v>
      </c>
      <c r="F187">
        <v>62623075.530000001</v>
      </c>
      <c r="G187">
        <v>64804.19</v>
      </c>
    </row>
    <row r="188" spans="1:7" x14ac:dyDescent="0.25">
      <c r="A188" s="1">
        <v>45566</v>
      </c>
      <c r="B188" t="s">
        <v>7</v>
      </c>
      <c r="C188" t="s">
        <v>203</v>
      </c>
      <c r="D188" t="s">
        <v>210</v>
      </c>
      <c r="E188">
        <v>33022050.43</v>
      </c>
      <c r="F188">
        <v>33742659.780000001</v>
      </c>
      <c r="G188">
        <v>67722.81</v>
      </c>
    </row>
    <row r="189" spans="1:7" x14ac:dyDescent="0.25">
      <c r="A189" s="1">
        <v>45383</v>
      </c>
      <c r="B189" t="s">
        <v>7</v>
      </c>
      <c r="C189" t="s">
        <v>203</v>
      </c>
      <c r="D189" t="s">
        <v>211</v>
      </c>
      <c r="E189">
        <v>32674603.850000001</v>
      </c>
      <c r="F189">
        <v>32403159.370000001</v>
      </c>
      <c r="G189">
        <v>632288.34</v>
      </c>
    </row>
    <row r="190" spans="1:7" x14ac:dyDescent="0.25">
      <c r="A190" s="1">
        <v>45505</v>
      </c>
      <c r="B190" t="s">
        <v>7</v>
      </c>
      <c r="C190" t="s">
        <v>203</v>
      </c>
      <c r="D190" t="s">
        <v>212</v>
      </c>
      <c r="E190">
        <v>32459162.039999999</v>
      </c>
      <c r="F190">
        <v>33048259.100000001</v>
      </c>
      <c r="G190">
        <v>146965.85999999999</v>
      </c>
    </row>
    <row r="191" spans="1:7" x14ac:dyDescent="0.25">
      <c r="A191" s="1">
        <v>45352</v>
      </c>
      <c r="B191" t="s">
        <v>7</v>
      </c>
      <c r="C191" t="s">
        <v>203</v>
      </c>
      <c r="D191" t="s">
        <v>213</v>
      </c>
      <c r="E191">
        <v>30998256.59</v>
      </c>
      <c r="F191">
        <v>31132875.620000001</v>
      </c>
      <c r="G191">
        <v>1155960.27</v>
      </c>
    </row>
    <row r="192" spans="1:7" x14ac:dyDescent="0.25">
      <c r="A192" s="1">
        <v>45292</v>
      </c>
      <c r="B192" t="s">
        <v>7</v>
      </c>
      <c r="C192" t="s">
        <v>203</v>
      </c>
      <c r="D192" t="s">
        <v>214</v>
      </c>
      <c r="E192">
        <v>32529563.789999999</v>
      </c>
      <c r="F192">
        <v>2856325.1200000001</v>
      </c>
      <c r="G192">
        <v>33286595.390000001</v>
      </c>
    </row>
    <row r="193" spans="1:7" x14ac:dyDescent="0.25">
      <c r="A193" s="1">
        <v>45444</v>
      </c>
      <c r="B193" t="s">
        <v>7</v>
      </c>
      <c r="C193" t="s">
        <v>203</v>
      </c>
      <c r="D193" t="s">
        <v>215</v>
      </c>
      <c r="E193">
        <v>41567622.810000002</v>
      </c>
      <c r="F193">
        <v>33657218.520000003</v>
      </c>
      <c r="G193">
        <v>538727.96</v>
      </c>
    </row>
    <row r="194" spans="1:7" x14ac:dyDescent="0.25">
      <c r="A194" s="1">
        <v>45323</v>
      </c>
      <c r="B194" t="s">
        <v>7</v>
      </c>
      <c r="C194" t="s">
        <v>216</v>
      </c>
      <c r="D194" t="s">
        <v>217</v>
      </c>
      <c r="E194">
        <v>124264386.06</v>
      </c>
      <c r="F194">
        <v>111469698.58</v>
      </c>
      <c r="G194">
        <v>25993319.460000001</v>
      </c>
    </row>
    <row r="195" spans="1:7" x14ac:dyDescent="0.25">
      <c r="A195" s="1">
        <v>45474</v>
      </c>
      <c r="B195" t="s">
        <v>7</v>
      </c>
      <c r="C195" t="s">
        <v>216</v>
      </c>
      <c r="D195" t="s">
        <v>218</v>
      </c>
      <c r="E195">
        <v>132419056.65000001</v>
      </c>
      <c r="F195">
        <v>168672874.94999999</v>
      </c>
      <c r="G195">
        <v>494376.05</v>
      </c>
    </row>
    <row r="196" spans="1:7" x14ac:dyDescent="0.25">
      <c r="A196" s="1">
        <v>45566</v>
      </c>
      <c r="B196" t="s">
        <v>7</v>
      </c>
      <c r="C196" t="s">
        <v>216</v>
      </c>
      <c r="D196" t="s">
        <v>219</v>
      </c>
      <c r="E196">
        <v>148240383.41</v>
      </c>
      <c r="F196">
        <v>139955576.81999999</v>
      </c>
      <c r="G196">
        <v>989805.18</v>
      </c>
    </row>
    <row r="197" spans="1:7" x14ac:dyDescent="0.25">
      <c r="A197" s="1">
        <v>45505</v>
      </c>
      <c r="B197" t="s">
        <v>7</v>
      </c>
      <c r="C197" t="s">
        <v>216</v>
      </c>
      <c r="D197" t="s">
        <v>220</v>
      </c>
      <c r="E197">
        <v>133430901.56</v>
      </c>
      <c r="F197">
        <v>131879936.54000001</v>
      </c>
      <c r="G197">
        <v>973223.65</v>
      </c>
    </row>
    <row r="198" spans="1:7" x14ac:dyDescent="0.25">
      <c r="A198" s="1">
        <v>45444</v>
      </c>
      <c r="B198" t="s">
        <v>7</v>
      </c>
      <c r="C198" t="s">
        <v>216</v>
      </c>
      <c r="D198" t="s">
        <v>221</v>
      </c>
      <c r="E198">
        <v>170178223.65000001</v>
      </c>
      <c r="F198">
        <v>134703771.65000001</v>
      </c>
      <c r="G198">
        <v>1177971.53</v>
      </c>
    </row>
    <row r="199" spans="1:7" x14ac:dyDescent="0.25">
      <c r="A199" s="1">
        <v>45352</v>
      </c>
      <c r="B199" t="s">
        <v>7</v>
      </c>
      <c r="C199" t="s">
        <v>216</v>
      </c>
      <c r="D199" t="s">
        <v>222</v>
      </c>
      <c r="E199">
        <v>121969566.43000001</v>
      </c>
      <c r="F199">
        <v>124862613.2</v>
      </c>
      <c r="G199">
        <v>7090003.3099999996</v>
      </c>
    </row>
    <row r="200" spans="1:7" x14ac:dyDescent="0.25">
      <c r="A200" s="1">
        <v>45536</v>
      </c>
      <c r="B200" t="s">
        <v>7</v>
      </c>
      <c r="C200" t="s">
        <v>216</v>
      </c>
      <c r="D200" t="s">
        <v>223</v>
      </c>
      <c r="E200">
        <v>129056970.02</v>
      </c>
      <c r="F200">
        <v>132088176.69</v>
      </c>
      <c r="G200">
        <v>650992.94999999995</v>
      </c>
    </row>
    <row r="201" spans="1:7" x14ac:dyDescent="0.25">
      <c r="A201" s="1">
        <v>45413</v>
      </c>
      <c r="B201" t="s">
        <v>7</v>
      </c>
      <c r="C201" t="s">
        <v>216</v>
      </c>
      <c r="D201" t="s">
        <v>224</v>
      </c>
      <c r="E201">
        <v>134699485.38</v>
      </c>
      <c r="F201">
        <v>136277246.44</v>
      </c>
      <c r="G201">
        <v>1708404.74</v>
      </c>
    </row>
    <row r="202" spans="1:7" x14ac:dyDescent="0.25">
      <c r="A202" s="1">
        <v>45383</v>
      </c>
      <c r="B202" t="s">
        <v>7</v>
      </c>
      <c r="C202" t="s">
        <v>216</v>
      </c>
      <c r="D202" t="s">
        <v>225</v>
      </c>
      <c r="E202">
        <v>141959166.40000001</v>
      </c>
      <c r="F202">
        <v>133789053.06999999</v>
      </c>
      <c r="G202">
        <v>2742640.82</v>
      </c>
    </row>
    <row r="203" spans="1:7" x14ac:dyDescent="0.25">
      <c r="A203" s="1">
        <v>45627</v>
      </c>
      <c r="B203" t="s">
        <v>7</v>
      </c>
      <c r="C203" t="s">
        <v>216</v>
      </c>
      <c r="D203" t="s">
        <v>226</v>
      </c>
      <c r="E203">
        <v>157007568.15000001</v>
      </c>
      <c r="F203">
        <v>164650554.25999999</v>
      </c>
      <c r="G203">
        <v>1002225.75</v>
      </c>
    </row>
    <row r="204" spans="1:7" x14ac:dyDescent="0.25">
      <c r="A204" s="1">
        <v>45597</v>
      </c>
      <c r="B204" t="s">
        <v>7</v>
      </c>
      <c r="C204" t="s">
        <v>216</v>
      </c>
      <c r="D204" t="s">
        <v>227</v>
      </c>
      <c r="E204">
        <v>186895364.97</v>
      </c>
      <c r="F204">
        <v>155995033.22</v>
      </c>
      <c r="G204">
        <v>163162.03</v>
      </c>
    </row>
    <row r="205" spans="1:7" x14ac:dyDescent="0.25">
      <c r="A205" s="1">
        <v>45292</v>
      </c>
      <c r="B205" t="s">
        <v>7</v>
      </c>
      <c r="C205" t="s">
        <v>216</v>
      </c>
      <c r="D205" t="s">
        <v>228</v>
      </c>
      <c r="E205">
        <v>128243758.86</v>
      </c>
      <c r="F205">
        <v>26476537.649999999</v>
      </c>
      <c r="G205">
        <v>137541043.75</v>
      </c>
    </row>
    <row r="206" spans="1:7" x14ac:dyDescent="0.25">
      <c r="A206" s="1">
        <v>45383</v>
      </c>
      <c r="B206" t="s">
        <v>7</v>
      </c>
      <c r="C206" t="s">
        <v>229</v>
      </c>
      <c r="D206" t="s">
        <v>230</v>
      </c>
      <c r="E206">
        <v>31316611.989999998</v>
      </c>
      <c r="F206">
        <v>28941863.649999999</v>
      </c>
      <c r="G206">
        <v>3976252.98</v>
      </c>
    </row>
    <row r="207" spans="1:7" x14ac:dyDescent="0.25">
      <c r="A207" s="1">
        <v>45352</v>
      </c>
      <c r="B207" t="s">
        <v>7</v>
      </c>
      <c r="C207" t="s">
        <v>229</v>
      </c>
      <c r="D207" t="s">
        <v>231</v>
      </c>
      <c r="E207">
        <v>27946836.129999999</v>
      </c>
      <c r="F207">
        <v>26670948.219999999</v>
      </c>
      <c r="G207">
        <v>5750035.1500000004</v>
      </c>
    </row>
    <row r="208" spans="1:7" x14ac:dyDescent="0.25">
      <c r="A208" s="1">
        <v>45474</v>
      </c>
      <c r="B208" t="s">
        <v>7</v>
      </c>
      <c r="C208" t="s">
        <v>229</v>
      </c>
      <c r="D208" t="s">
        <v>232</v>
      </c>
      <c r="E208">
        <v>32081341.640000001</v>
      </c>
      <c r="F208">
        <v>37596928.450000003</v>
      </c>
      <c r="G208">
        <v>1337982.3799999999</v>
      </c>
    </row>
    <row r="209" spans="1:7" x14ac:dyDescent="0.25">
      <c r="A209" s="1">
        <v>45323</v>
      </c>
      <c r="B209" t="s">
        <v>7</v>
      </c>
      <c r="C209" t="s">
        <v>229</v>
      </c>
      <c r="D209" t="s">
        <v>233</v>
      </c>
      <c r="E209">
        <v>25338254.079999998</v>
      </c>
      <c r="F209">
        <v>25248239.239999998</v>
      </c>
      <c r="G209">
        <v>5602425.6100000003</v>
      </c>
    </row>
    <row r="210" spans="1:7" x14ac:dyDescent="0.25">
      <c r="A210" s="1">
        <v>45566</v>
      </c>
      <c r="B210" t="s">
        <v>7</v>
      </c>
      <c r="C210" t="s">
        <v>229</v>
      </c>
      <c r="D210" t="s">
        <v>234</v>
      </c>
      <c r="E210">
        <v>31893661.899999999</v>
      </c>
      <c r="F210">
        <v>31157600</v>
      </c>
      <c r="G210">
        <v>1118163.3799999999</v>
      </c>
    </row>
    <row r="211" spans="1:7" x14ac:dyDescent="0.25">
      <c r="A211" s="1">
        <v>45597</v>
      </c>
      <c r="B211" t="s">
        <v>7</v>
      </c>
      <c r="C211" t="s">
        <v>229</v>
      </c>
      <c r="D211" t="s">
        <v>235</v>
      </c>
      <c r="E211">
        <v>47550936.859999999</v>
      </c>
      <c r="F211">
        <v>39712787.119999997</v>
      </c>
      <c r="G211">
        <v>1376250.29</v>
      </c>
    </row>
    <row r="212" spans="1:7" x14ac:dyDescent="0.25">
      <c r="A212" s="1">
        <v>45505</v>
      </c>
      <c r="B212" t="s">
        <v>7</v>
      </c>
      <c r="C212" t="s">
        <v>229</v>
      </c>
      <c r="D212" t="s">
        <v>236</v>
      </c>
      <c r="E212">
        <v>32286688.899999999</v>
      </c>
      <c r="F212">
        <v>31998275.989999998</v>
      </c>
      <c r="G212">
        <v>1214731.79</v>
      </c>
    </row>
    <row r="213" spans="1:7" x14ac:dyDescent="0.25">
      <c r="A213" s="1">
        <v>45444</v>
      </c>
      <c r="B213" t="s">
        <v>7</v>
      </c>
      <c r="C213" t="s">
        <v>229</v>
      </c>
      <c r="D213" t="s">
        <v>237</v>
      </c>
      <c r="E213">
        <v>37344600.630000003</v>
      </c>
      <c r="F213">
        <v>31016690.52</v>
      </c>
      <c r="G213">
        <v>607540.16</v>
      </c>
    </row>
    <row r="214" spans="1:7" x14ac:dyDescent="0.25">
      <c r="A214" s="1">
        <v>45536</v>
      </c>
      <c r="B214" t="s">
        <v>7</v>
      </c>
      <c r="C214" t="s">
        <v>229</v>
      </c>
      <c r="D214" t="s">
        <v>238</v>
      </c>
      <c r="E214">
        <v>30170062.48</v>
      </c>
      <c r="F214">
        <v>31676951</v>
      </c>
      <c r="G214">
        <v>925548.54</v>
      </c>
    </row>
    <row r="215" spans="1:7" x14ac:dyDescent="0.25">
      <c r="A215" s="1">
        <v>45627</v>
      </c>
      <c r="B215" t="s">
        <v>7</v>
      </c>
      <c r="C215" t="s">
        <v>229</v>
      </c>
      <c r="D215" t="s">
        <v>239</v>
      </c>
      <c r="E215">
        <v>40871505.82</v>
      </c>
      <c r="F215">
        <v>47239374.530000001</v>
      </c>
      <c r="G215">
        <v>1332033.8600000001</v>
      </c>
    </row>
    <row r="216" spans="1:7" x14ac:dyDescent="0.25">
      <c r="A216" s="1">
        <v>45413</v>
      </c>
      <c r="B216" t="s">
        <v>7</v>
      </c>
      <c r="C216" t="s">
        <v>229</v>
      </c>
      <c r="D216" t="s">
        <v>240</v>
      </c>
      <c r="E216">
        <v>30575336.620000001</v>
      </c>
      <c r="F216">
        <v>30815890.870000001</v>
      </c>
      <c r="G216">
        <v>5083826.3</v>
      </c>
    </row>
    <row r="217" spans="1:7" x14ac:dyDescent="0.25">
      <c r="A217" s="1">
        <v>45292</v>
      </c>
      <c r="B217" t="s">
        <v>7</v>
      </c>
      <c r="C217" t="s">
        <v>229</v>
      </c>
      <c r="D217" t="s">
        <v>241</v>
      </c>
      <c r="E217">
        <v>25110782.23</v>
      </c>
      <c r="F217">
        <v>5990010.3399999999</v>
      </c>
      <c r="G217">
        <v>31183633.239999998</v>
      </c>
    </row>
    <row r="218" spans="1:7" x14ac:dyDescent="0.25">
      <c r="A218" s="1">
        <v>45444</v>
      </c>
      <c r="B218" t="s">
        <v>7</v>
      </c>
      <c r="C218" t="s">
        <v>242</v>
      </c>
      <c r="D218" t="s">
        <v>243</v>
      </c>
      <c r="E218">
        <v>40609316.899999999</v>
      </c>
      <c r="F218">
        <v>33006745.739999998</v>
      </c>
      <c r="G218">
        <v>516221.5</v>
      </c>
    </row>
    <row r="219" spans="1:7" x14ac:dyDescent="0.25">
      <c r="A219" s="1">
        <v>45352</v>
      </c>
      <c r="B219" t="s">
        <v>7</v>
      </c>
      <c r="C219" t="s">
        <v>242</v>
      </c>
      <c r="D219" t="s">
        <v>244</v>
      </c>
      <c r="E219">
        <v>32705517.920000002</v>
      </c>
      <c r="F219">
        <v>33221608.030000001</v>
      </c>
      <c r="G219">
        <v>3772304</v>
      </c>
    </row>
    <row r="220" spans="1:7" x14ac:dyDescent="0.25">
      <c r="A220" s="1">
        <v>45413</v>
      </c>
      <c r="B220" t="s">
        <v>7</v>
      </c>
      <c r="C220" t="s">
        <v>242</v>
      </c>
      <c r="D220" t="s">
        <v>245</v>
      </c>
      <c r="E220">
        <v>34468058.719999999</v>
      </c>
      <c r="F220">
        <v>32950098.780000001</v>
      </c>
      <c r="G220">
        <v>2897560.32</v>
      </c>
    </row>
    <row r="221" spans="1:7" x14ac:dyDescent="0.25">
      <c r="A221" s="1">
        <v>45536</v>
      </c>
      <c r="B221" t="s">
        <v>7</v>
      </c>
      <c r="C221" t="s">
        <v>242</v>
      </c>
      <c r="D221" t="s">
        <v>246</v>
      </c>
      <c r="E221">
        <v>35025123.710000001</v>
      </c>
      <c r="F221">
        <v>34697408.030000001</v>
      </c>
      <c r="G221">
        <v>2113233.69</v>
      </c>
    </row>
    <row r="222" spans="1:7" x14ac:dyDescent="0.25">
      <c r="A222" s="1">
        <v>45474</v>
      </c>
      <c r="B222" t="s">
        <v>7</v>
      </c>
      <c r="C222" t="s">
        <v>242</v>
      </c>
      <c r="D222" t="s">
        <v>247</v>
      </c>
      <c r="E222">
        <v>34119398.060000002</v>
      </c>
      <c r="F222">
        <v>39242822.399999999</v>
      </c>
      <c r="G222">
        <v>507076.03</v>
      </c>
    </row>
    <row r="223" spans="1:7" x14ac:dyDescent="0.25">
      <c r="A223" s="1">
        <v>45505</v>
      </c>
      <c r="B223" t="s">
        <v>7</v>
      </c>
      <c r="C223" t="s">
        <v>242</v>
      </c>
      <c r="D223" t="s">
        <v>248</v>
      </c>
      <c r="E223">
        <v>34899732.289999999</v>
      </c>
      <c r="F223">
        <v>33716039.75</v>
      </c>
      <c r="G223">
        <v>408028.2</v>
      </c>
    </row>
    <row r="224" spans="1:7" x14ac:dyDescent="0.25">
      <c r="A224" s="1">
        <v>45292</v>
      </c>
      <c r="B224" t="s">
        <v>7</v>
      </c>
      <c r="C224" t="s">
        <v>242</v>
      </c>
      <c r="D224" t="s">
        <v>249</v>
      </c>
      <c r="E224">
        <v>30420911.030000001</v>
      </c>
      <c r="F224">
        <v>6214106.3700000001</v>
      </c>
      <c r="G224">
        <v>33020840.030000001</v>
      </c>
    </row>
    <row r="225" spans="1:7" x14ac:dyDescent="0.25">
      <c r="A225" s="1">
        <v>45383</v>
      </c>
      <c r="B225" t="s">
        <v>7</v>
      </c>
      <c r="C225" t="s">
        <v>242</v>
      </c>
      <c r="D225" t="s">
        <v>250</v>
      </c>
      <c r="E225">
        <v>32819934.879999999</v>
      </c>
      <c r="F225">
        <v>33212551.140000001</v>
      </c>
      <c r="G225">
        <v>1919669.41</v>
      </c>
    </row>
    <row r="226" spans="1:7" x14ac:dyDescent="0.25">
      <c r="A226" s="1">
        <v>45597</v>
      </c>
      <c r="B226" t="s">
        <v>7</v>
      </c>
      <c r="C226" t="s">
        <v>242</v>
      </c>
      <c r="D226" t="s">
        <v>251</v>
      </c>
      <c r="E226">
        <v>52269555.740000002</v>
      </c>
      <c r="F226">
        <v>40841931.460000001</v>
      </c>
      <c r="G226">
        <v>872216.33</v>
      </c>
    </row>
    <row r="227" spans="1:7" x14ac:dyDescent="0.25">
      <c r="A227" s="1">
        <v>45323</v>
      </c>
      <c r="B227" t="s">
        <v>7</v>
      </c>
      <c r="C227" t="s">
        <v>242</v>
      </c>
      <c r="D227" t="s">
        <v>252</v>
      </c>
      <c r="E227">
        <v>32235482.98</v>
      </c>
      <c r="F227">
        <v>31627133.52</v>
      </c>
      <c r="G227">
        <v>1237308.99</v>
      </c>
    </row>
    <row r="228" spans="1:7" x14ac:dyDescent="0.25">
      <c r="A228" s="1">
        <v>45627</v>
      </c>
      <c r="B228" t="s">
        <v>7</v>
      </c>
      <c r="C228" t="s">
        <v>242</v>
      </c>
      <c r="D228" t="s">
        <v>253</v>
      </c>
      <c r="E228">
        <v>47207086.759999998</v>
      </c>
      <c r="F228">
        <v>52346687.759999998</v>
      </c>
      <c r="G228">
        <v>1669197.58</v>
      </c>
    </row>
    <row r="229" spans="1:7" x14ac:dyDescent="0.25">
      <c r="A229" s="1">
        <v>45566</v>
      </c>
      <c r="B229" t="s">
        <v>7</v>
      </c>
      <c r="C229" t="s">
        <v>242</v>
      </c>
      <c r="D229" t="s">
        <v>254</v>
      </c>
      <c r="E229">
        <v>36362819.460000001</v>
      </c>
      <c r="F229">
        <v>35541289.350000001</v>
      </c>
      <c r="G229">
        <v>926519.06</v>
      </c>
    </row>
    <row r="230" spans="1:7" x14ac:dyDescent="0.25">
      <c r="A230" s="1">
        <v>45292</v>
      </c>
      <c r="B230" t="s">
        <v>7</v>
      </c>
      <c r="C230" t="s">
        <v>255</v>
      </c>
      <c r="D230" t="s">
        <v>256</v>
      </c>
      <c r="E230">
        <v>17319265.530000001</v>
      </c>
      <c r="F230">
        <v>3547743.6</v>
      </c>
      <c r="G230">
        <v>34624536.920000002</v>
      </c>
    </row>
    <row r="231" spans="1:7" x14ac:dyDescent="0.25">
      <c r="A231" s="1">
        <v>45474</v>
      </c>
      <c r="B231" t="s">
        <v>7</v>
      </c>
      <c r="C231" t="s">
        <v>255</v>
      </c>
      <c r="D231" t="s">
        <v>257</v>
      </c>
      <c r="E231">
        <v>21006281.300000001</v>
      </c>
      <c r="F231">
        <v>25345690.789999999</v>
      </c>
      <c r="G231">
        <v>1829512.49</v>
      </c>
    </row>
    <row r="232" spans="1:7" x14ac:dyDescent="0.25">
      <c r="A232" s="1">
        <v>45444</v>
      </c>
      <c r="B232" t="s">
        <v>7</v>
      </c>
      <c r="C232" t="s">
        <v>255</v>
      </c>
      <c r="D232" t="s">
        <v>258</v>
      </c>
      <c r="E232">
        <v>23984520.260000002</v>
      </c>
      <c r="F232">
        <v>20095778.829999998</v>
      </c>
      <c r="G232">
        <v>4936394.21</v>
      </c>
    </row>
    <row r="233" spans="1:7" x14ac:dyDescent="0.25">
      <c r="A233" s="1">
        <v>45505</v>
      </c>
      <c r="B233" t="s">
        <v>7</v>
      </c>
      <c r="C233" t="s">
        <v>255</v>
      </c>
      <c r="D233" t="s">
        <v>259</v>
      </c>
      <c r="E233">
        <v>20642507.079999998</v>
      </c>
      <c r="F233">
        <v>21025326.170000002</v>
      </c>
      <c r="G233">
        <v>1106432.5900000001</v>
      </c>
    </row>
    <row r="234" spans="1:7" x14ac:dyDescent="0.25">
      <c r="A234" s="1">
        <v>45627</v>
      </c>
      <c r="B234" t="s">
        <v>7</v>
      </c>
      <c r="C234" t="s">
        <v>255</v>
      </c>
      <c r="D234" t="s">
        <v>260</v>
      </c>
      <c r="E234">
        <v>26022758.100000001</v>
      </c>
      <c r="F234">
        <v>31253388.379999999</v>
      </c>
      <c r="G234">
        <v>3439935.8</v>
      </c>
    </row>
    <row r="235" spans="1:7" x14ac:dyDescent="0.25">
      <c r="A235" s="1">
        <v>45413</v>
      </c>
      <c r="B235" t="s">
        <v>7</v>
      </c>
      <c r="C235" t="s">
        <v>255</v>
      </c>
      <c r="D235" t="s">
        <v>261</v>
      </c>
      <c r="E235">
        <v>20282380.23</v>
      </c>
      <c r="F235">
        <v>19267484.260000002</v>
      </c>
      <c r="G235">
        <v>10311354.93</v>
      </c>
    </row>
    <row r="236" spans="1:7" x14ac:dyDescent="0.25">
      <c r="A236" s="1">
        <v>45566</v>
      </c>
      <c r="B236" t="s">
        <v>7</v>
      </c>
      <c r="C236" t="s">
        <v>255</v>
      </c>
      <c r="D236" t="s">
        <v>262</v>
      </c>
      <c r="E236">
        <v>22213567.84</v>
      </c>
      <c r="F236">
        <v>22426565.190000001</v>
      </c>
      <c r="G236">
        <v>2185308.2400000002</v>
      </c>
    </row>
    <row r="237" spans="1:7" x14ac:dyDescent="0.25">
      <c r="A237" s="1">
        <v>45597</v>
      </c>
      <c r="B237" t="s">
        <v>7</v>
      </c>
      <c r="C237" t="s">
        <v>255</v>
      </c>
      <c r="D237" t="s">
        <v>263</v>
      </c>
      <c r="E237">
        <v>44151186.770000003</v>
      </c>
      <c r="F237">
        <v>38030616.740000002</v>
      </c>
      <c r="G237">
        <v>1829815.79</v>
      </c>
    </row>
    <row r="238" spans="1:7" x14ac:dyDescent="0.25">
      <c r="A238" s="1">
        <v>45536</v>
      </c>
      <c r="B238" t="s">
        <v>7</v>
      </c>
      <c r="C238" t="s">
        <v>255</v>
      </c>
      <c r="D238" t="s">
        <v>264</v>
      </c>
      <c r="E238">
        <v>20534295</v>
      </c>
      <c r="F238">
        <v>20171525.809999999</v>
      </c>
      <c r="G238">
        <v>2055140.33</v>
      </c>
    </row>
    <row r="239" spans="1:7" x14ac:dyDescent="0.25">
      <c r="A239" s="1">
        <v>45383</v>
      </c>
      <c r="B239" t="s">
        <v>7</v>
      </c>
      <c r="C239" t="s">
        <v>255</v>
      </c>
      <c r="D239" t="s">
        <v>265</v>
      </c>
      <c r="E239">
        <v>19037658.710000001</v>
      </c>
      <c r="F239">
        <v>19961099.23</v>
      </c>
      <c r="G239">
        <v>5644445.9000000004</v>
      </c>
    </row>
    <row r="240" spans="1:7" x14ac:dyDescent="0.25">
      <c r="A240" s="1">
        <v>45323</v>
      </c>
      <c r="B240" t="s">
        <v>7</v>
      </c>
      <c r="C240" t="s">
        <v>255</v>
      </c>
      <c r="D240" t="s">
        <v>266</v>
      </c>
      <c r="E240">
        <v>18117734.530000001</v>
      </c>
      <c r="F240">
        <v>17738532.539999999</v>
      </c>
      <c r="G240">
        <v>2855471.06</v>
      </c>
    </row>
    <row r="241" spans="1:7" x14ac:dyDescent="0.25">
      <c r="A241" s="1">
        <v>45352</v>
      </c>
      <c r="B241" t="s">
        <v>7</v>
      </c>
      <c r="C241" t="s">
        <v>255</v>
      </c>
      <c r="D241" t="s">
        <v>267</v>
      </c>
      <c r="E241">
        <v>19979078.309999999</v>
      </c>
      <c r="F241">
        <v>18820107.030000001</v>
      </c>
      <c r="G241">
        <v>7389746.9800000004</v>
      </c>
    </row>
    <row r="242" spans="1:7" x14ac:dyDescent="0.25">
      <c r="A242" s="1">
        <v>45536</v>
      </c>
      <c r="B242" t="s">
        <v>7</v>
      </c>
      <c r="C242" t="s">
        <v>268</v>
      </c>
      <c r="D242" t="s">
        <v>269</v>
      </c>
      <c r="E242">
        <v>72718730.349999994</v>
      </c>
      <c r="F242">
        <v>96267223.760000005</v>
      </c>
      <c r="G242">
        <v>711387.47</v>
      </c>
    </row>
    <row r="243" spans="1:7" x14ac:dyDescent="0.25">
      <c r="A243" s="1">
        <v>45566</v>
      </c>
      <c r="B243" t="s">
        <v>7</v>
      </c>
      <c r="C243" t="s">
        <v>268</v>
      </c>
      <c r="D243" t="s">
        <v>270</v>
      </c>
      <c r="E243">
        <v>84693027.659999996</v>
      </c>
      <c r="F243">
        <v>101424126.01000001</v>
      </c>
      <c r="G243">
        <v>372893.72</v>
      </c>
    </row>
    <row r="244" spans="1:7" x14ac:dyDescent="0.25">
      <c r="A244" s="1">
        <v>45292</v>
      </c>
      <c r="B244" t="s">
        <v>7</v>
      </c>
      <c r="C244" t="s">
        <v>268</v>
      </c>
      <c r="D244" t="s">
        <v>271</v>
      </c>
      <c r="E244">
        <v>71926875.75</v>
      </c>
      <c r="F244">
        <v>5416298.96</v>
      </c>
      <c r="G244">
        <v>91268397.439999998</v>
      </c>
    </row>
    <row r="245" spans="1:7" x14ac:dyDescent="0.25">
      <c r="A245" s="1">
        <v>45352</v>
      </c>
      <c r="B245" t="s">
        <v>7</v>
      </c>
      <c r="C245" t="s">
        <v>268</v>
      </c>
      <c r="D245" t="s">
        <v>272</v>
      </c>
      <c r="E245">
        <v>80740527.480000004</v>
      </c>
      <c r="F245">
        <v>78083393.060000002</v>
      </c>
      <c r="G245">
        <v>2808815.36</v>
      </c>
    </row>
    <row r="246" spans="1:7" x14ac:dyDescent="0.25">
      <c r="A246" s="1">
        <v>45383</v>
      </c>
      <c r="B246" t="s">
        <v>7</v>
      </c>
      <c r="C246" t="s">
        <v>268</v>
      </c>
      <c r="D246" t="s">
        <v>273</v>
      </c>
      <c r="E246">
        <v>75700300.5</v>
      </c>
      <c r="F246">
        <v>77823090.480000004</v>
      </c>
      <c r="G246">
        <v>10950230.99</v>
      </c>
    </row>
    <row r="247" spans="1:7" x14ac:dyDescent="0.25">
      <c r="A247" s="1">
        <v>45413</v>
      </c>
      <c r="B247" t="s">
        <v>7</v>
      </c>
      <c r="C247" t="s">
        <v>268</v>
      </c>
      <c r="D247" t="s">
        <v>274</v>
      </c>
      <c r="E247">
        <v>77903721.879999995</v>
      </c>
      <c r="F247">
        <v>77502465.810000002</v>
      </c>
      <c r="G247">
        <v>2693594.61</v>
      </c>
    </row>
    <row r="248" spans="1:7" x14ac:dyDescent="0.25">
      <c r="A248" s="1">
        <v>45597</v>
      </c>
      <c r="B248" t="s">
        <v>7</v>
      </c>
      <c r="C248" t="s">
        <v>268</v>
      </c>
      <c r="D248" t="s">
        <v>275</v>
      </c>
      <c r="E248">
        <v>105280216.36</v>
      </c>
      <c r="F248">
        <v>85440509.950000003</v>
      </c>
      <c r="G248">
        <v>338686.47</v>
      </c>
    </row>
    <row r="249" spans="1:7" x14ac:dyDescent="0.25">
      <c r="A249" s="1">
        <v>45627</v>
      </c>
      <c r="B249" t="s">
        <v>7</v>
      </c>
      <c r="C249" t="s">
        <v>268</v>
      </c>
      <c r="D249" t="s">
        <v>276</v>
      </c>
      <c r="E249">
        <v>113331463.77</v>
      </c>
      <c r="F249">
        <v>111901037.58</v>
      </c>
      <c r="G249">
        <v>1383126.05</v>
      </c>
    </row>
    <row r="250" spans="1:7" x14ac:dyDescent="0.25">
      <c r="A250" s="1">
        <v>45323</v>
      </c>
      <c r="B250" t="s">
        <v>7</v>
      </c>
      <c r="C250" t="s">
        <v>268</v>
      </c>
      <c r="D250" t="s">
        <v>277</v>
      </c>
      <c r="E250">
        <v>71722794.569999993</v>
      </c>
      <c r="F250">
        <v>64400368.75</v>
      </c>
      <c r="G250">
        <v>19072335.399999999</v>
      </c>
    </row>
    <row r="251" spans="1:7" x14ac:dyDescent="0.25">
      <c r="A251" s="1">
        <v>45444</v>
      </c>
      <c r="B251" t="s">
        <v>7</v>
      </c>
      <c r="C251" t="s">
        <v>268</v>
      </c>
      <c r="D251" t="s">
        <v>278</v>
      </c>
      <c r="E251">
        <v>91375910.989999995</v>
      </c>
      <c r="F251">
        <v>84581316.420000002</v>
      </c>
      <c r="G251">
        <v>655321.97</v>
      </c>
    </row>
    <row r="252" spans="1:7" x14ac:dyDescent="0.25">
      <c r="A252" s="1">
        <v>45474</v>
      </c>
      <c r="B252" t="s">
        <v>7</v>
      </c>
      <c r="C252" t="s">
        <v>268</v>
      </c>
      <c r="D252" t="s">
        <v>279</v>
      </c>
      <c r="E252">
        <v>87917351.230000004</v>
      </c>
      <c r="F252">
        <v>99419519.689999998</v>
      </c>
      <c r="G252">
        <v>2648965.0499999998</v>
      </c>
    </row>
    <row r="253" spans="1:7" x14ac:dyDescent="0.25">
      <c r="A253" s="1">
        <v>45505</v>
      </c>
      <c r="B253" t="s">
        <v>7</v>
      </c>
      <c r="C253" t="s">
        <v>268</v>
      </c>
      <c r="D253" t="s">
        <v>280</v>
      </c>
      <c r="E253">
        <v>105246446.41</v>
      </c>
      <c r="F253">
        <v>86825959.379999995</v>
      </c>
      <c r="G253">
        <v>197554.03</v>
      </c>
    </row>
    <row r="254" spans="1:7" x14ac:dyDescent="0.25">
      <c r="A254" s="1">
        <v>45352</v>
      </c>
      <c r="B254" t="s">
        <v>7</v>
      </c>
      <c r="C254" t="s">
        <v>281</v>
      </c>
      <c r="D254" t="s">
        <v>282</v>
      </c>
      <c r="E254">
        <v>82633662.219999999</v>
      </c>
      <c r="F254">
        <v>88468144.510000005</v>
      </c>
      <c r="G254">
        <v>11562279.76</v>
      </c>
    </row>
    <row r="255" spans="1:7" x14ac:dyDescent="0.25">
      <c r="A255" s="1">
        <v>45505</v>
      </c>
      <c r="B255" t="s">
        <v>7</v>
      </c>
      <c r="C255" t="s">
        <v>281</v>
      </c>
      <c r="D255" t="s">
        <v>283</v>
      </c>
      <c r="E255">
        <v>85163241.230000004</v>
      </c>
      <c r="F255">
        <v>92752425.939999998</v>
      </c>
      <c r="G255">
        <v>877596.6</v>
      </c>
    </row>
    <row r="256" spans="1:7" x14ac:dyDescent="0.25">
      <c r="A256" s="1">
        <v>45383</v>
      </c>
      <c r="B256" t="s">
        <v>7</v>
      </c>
      <c r="C256" t="s">
        <v>281</v>
      </c>
      <c r="D256" t="s">
        <v>284</v>
      </c>
      <c r="E256">
        <v>84404865.349999994</v>
      </c>
      <c r="F256">
        <v>83737373.040000007</v>
      </c>
      <c r="G256">
        <v>2331572.65</v>
      </c>
    </row>
    <row r="257" spans="1:7" x14ac:dyDescent="0.25">
      <c r="A257" s="1">
        <v>45536</v>
      </c>
      <c r="B257" t="s">
        <v>7</v>
      </c>
      <c r="C257" t="s">
        <v>281</v>
      </c>
      <c r="D257" t="s">
        <v>285</v>
      </c>
      <c r="E257">
        <v>88378503.319999993</v>
      </c>
      <c r="F257">
        <v>88528050.209999993</v>
      </c>
      <c r="G257">
        <v>938714.88</v>
      </c>
    </row>
    <row r="258" spans="1:7" x14ac:dyDescent="0.25">
      <c r="A258" s="1">
        <v>45323</v>
      </c>
      <c r="B258" t="s">
        <v>7</v>
      </c>
      <c r="C258" t="s">
        <v>281</v>
      </c>
      <c r="D258" t="s">
        <v>286</v>
      </c>
      <c r="E258">
        <v>78936543.5</v>
      </c>
      <c r="F258">
        <v>72763296.819999993</v>
      </c>
      <c r="G258">
        <v>13974402.619999999</v>
      </c>
    </row>
    <row r="259" spans="1:7" x14ac:dyDescent="0.25">
      <c r="A259" s="1">
        <v>45474</v>
      </c>
      <c r="B259" t="s">
        <v>7</v>
      </c>
      <c r="C259" t="s">
        <v>281</v>
      </c>
      <c r="D259" t="s">
        <v>287</v>
      </c>
      <c r="E259">
        <v>86533746.310000002</v>
      </c>
      <c r="F259">
        <v>103544642.98</v>
      </c>
      <c r="G259">
        <v>874904.05</v>
      </c>
    </row>
    <row r="260" spans="1:7" x14ac:dyDescent="0.25">
      <c r="A260" s="1">
        <v>45413</v>
      </c>
      <c r="B260" t="s">
        <v>7</v>
      </c>
      <c r="C260" t="s">
        <v>281</v>
      </c>
      <c r="D260" t="s">
        <v>288</v>
      </c>
      <c r="E260">
        <v>90853975</v>
      </c>
      <c r="F260">
        <v>85376669.480000004</v>
      </c>
      <c r="G260">
        <v>2518608.87</v>
      </c>
    </row>
    <row r="261" spans="1:7" x14ac:dyDescent="0.25">
      <c r="A261" s="1">
        <v>45566</v>
      </c>
      <c r="B261" t="s">
        <v>7</v>
      </c>
      <c r="C261" t="s">
        <v>281</v>
      </c>
      <c r="D261" t="s">
        <v>289</v>
      </c>
      <c r="E261">
        <v>101569741.67</v>
      </c>
      <c r="F261">
        <v>100451796.31</v>
      </c>
      <c r="G261">
        <v>1674147.34</v>
      </c>
    </row>
    <row r="262" spans="1:7" x14ac:dyDescent="0.25">
      <c r="A262" s="1">
        <v>45627</v>
      </c>
      <c r="B262" t="s">
        <v>7</v>
      </c>
      <c r="C262" t="s">
        <v>281</v>
      </c>
      <c r="D262" t="s">
        <v>290</v>
      </c>
      <c r="E262">
        <v>116853312.37</v>
      </c>
      <c r="F262">
        <v>138457408.72999999</v>
      </c>
      <c r="G262">
        <v>3535774.76</v>
      </c>
    </row>
    <row r="263" spans="1:7" x14ac:dyDescent="0.25">
      <c r="A263" s="1">
        <v>45292</v>
      </c>
      <c r="B263" t="s">
        <v>7</v>
      </c>
      <c r="C263" t="s">
        <v>281</v>
      </c>
      <c r="D263" t="s">
        <v>291</v>
      </c>
      <c r="E263">
        <v>75222741.299999997</v>
      </c>
      <c r="F263">
        <v>15929371.609999999</v>
      </c>
      <c r="G263">
        <v>79598088.579999998</v>
      </c>
    </row>
    <row r="264" spans="1:7" x14ac:dyDescent="0.25">
      <c r="A264" s="1">
        <v>45444</v>
      </c>
      <c r="B264" t="s">
        <v>7</v>
      </c>
      <c r="C264" t="s">
        <v>281</v>
      </c>
      <c r="D264" t="s">
        <v>292</v>
      </c>
      <c r="E264">
        <v>111274862.47</v>
      </c>
      <c r="F264">
        <v>89280166.640000001</v>
      </c>
      <c r="G264">
        <v>3248289.12</v>
      </c>
    </row>
    <row r="265" spans="1:7" x14ac:dyDescent="0.25">
      <c r="A265" s="1">
        <v>45597</v>
      </c>
      <c r="B265" t="s">
        <v>7</v>
      </c>
      <c r="C265" t="s">
        <v>281</v>
      </c>
      <c r="D265" t="s">
        <v>293</v>
      </c>
      <c r="E265">
        <v>140857069.94999999</v>
      </c>
      <c r="F265">
        <v>102825656.76000001</v>
      </c>
      <c r="G265">
        <v>677168.23</v>
      </c>
    </row>
    <row r="266" spans="1:7" x14ac:dyDescent="0.25">
      <c r="A266" s="1">
        <v>45383</v>
      </c>
      <c r="B266" t="s">
        <v>7</v>
      </c>
      <c r="C266" t="s">
        <v>294</v>
      </c>
      <c r="D266" t="s">
        <v>295</v>
      </c>
      <c r="E266">
        <v>31944821.460000001</v>
      </c>
      <c r="F266">
        <v>31774065.68</v>
      </c>
      <c r="G266">
        <v>1221725.5900000001</v>
      </c>
    </row>
    <row r="267" spans="1:7" x14ac:dyDescent="0.25">
      <c r="A267" s="1">
        <v>45597</v>
      </c>
      <c r="B267" t="s">
        <v>7</v>
      </c>
      <c r="C267" t="s">
        <v>294</v>
      </c>
      <c r="D267" t="s">
        <v>296</v>
      </c>
      <c r="E267">
        <v>49801738.310000002</v>
      </c>
      <c r="F267">
        <v>42517746.289999999</v>
      </c>
      <c r="G267">
        <v>133162.85999999999</v>
      </c>
    </row>
    <row r="268" spans="1:7" x14ac:dyDescent="0.25">
      <c r="A268" s="1">
        <v>45352</v>
      </c>
      <c r="B268" t="s">
        <v>7</v>
      </c>
      <c r="C268" t="s">
        <v>294</v>
      </c>
      <c r="D268" t="s">
        <v>297</v>
      </c>
      <c r="E268">
        <v>30973517.059999999</v>
      </c>
      <c r="F268">
        <v>30647984.890000001</v>
      </c>
      <c r="G268">
        <v>2001378.65</v>
      </c>
    </row>
    <row r="269" spans="1:7" x14ac:dyDescent="0.25">
      <c r="A269" s="1">
        <v>45505</v>
      </c>
      <c r="B269" t="s">
        <v>7</v>
      </c>
      <c r="C269" t="s">
        <v>294</v>
      </c>
      <c r="D269" t="s">
        <v>298</v>
      </c>
      <c r="E269">
        <v>34160246.740000002</v>
      </c>
      <c r="F269">
        <v>34075270.740000002</v>
      </c>
      <c r="G269">
        <v>427910.7</v>
      </c>
    </row>
    <row r="270" spans="1:7" x14ac:dyDescent="0.25">
      <c r="A270" s="1">
        <v>45413</v>
      </c>
      <c r="B270" t="s">
        <v>7</v>
      </c>
      <c r="C270" t="s">
        <v>294</v>
      </c>
      <c r="D270" t="s">
        <v>299</v>
      </c>
      <c r="E270">
        <v>34913867.840000004</v>
      </c>
      <c r="F270">
        <v>32874284.02</v>
      </c>
      <c r="G270">
        <v>1268695.8500000001</v>
      </c>
    </row>
    <row r="271" spans="1:7" x14ac:dyDescent="0.25">
      <c r="A271" s="1">
        <v>45536</v>
      </c>
      <c r="B271" t="s">
        <v>7</v>
      </c>
      <c r="C271" t="s">
        <v>294</v>
      </c>
      <c r="D271" t="s">
        <v>300</v>
      </c>
      <c r="E271">
        <v>34448345.979999997</v>
      </c>
      <c r="F271">
        <v>35016971.950000003</v>
      </c>
      <c r="G271">
        <v>324436.65999999997</v>
      </c>
    </row>
    <row r="272" spans="1:7" x14ac:dyDescent="0.25">
      <c r="A272" s="1">
        <v>45323</v>
      </c>
      <c r="B272" t="s">
        <v>7</v>
      </c>
      <c r="C272" t="s">
        <v>294</v>
      </c>
      <c r="D272" t="s">
        <v>301</v>
      </c>
      <c r="E272">
        <v>29981206.199999999</v>
      </c>
      <c r="F272">
        <v>27446717.32</v>
      </c>
      <c r="G272">
        <v>2941928.36</v>
      </c>
    </row>
    <row r="273" spans="1:7" x14ac:dyDescent="0.25">
      <c r="A273" s="1">
        <v>45292</v>
      </c>
      <c r="B273" t="s">
        <v>7</v>
      </c>
      <c r="C273" t="s">
        <v>294</v>
      </c>
      <c r="D273" t="s">
        <v>302</v>
      </c>
      <c r="E273">
        <v>30998947.550000001</v>
      </c>
      <c r="F273">
        <v>6929315.2400000002</v>
      </c>
      <c r="G273">
        <v>28701132.52</v>
      </c>
    </row>
    <row r="274" spans="1:7" x14ac:dyDescent="0.25">
      <c r="A274" s="1">
        <v>45566</v>
      </c>
      <c r="B274" t="s">
        <v>7</v>
      </c>
      <c r="C274" t="s">
        <v>294</v>
      </c>
      <c r="D274" t="s">
        <v>303</v>
      </c>
      <c r="E274">
        <v>35828699.609999999</v>
      </c>
      <c r="F274">
        <v>34753195.090000004</v>
      </c>
      <c r="G274">
        <v>111953.46</v>
      </c>
    </row>
    <row r="275" spans="1:7" x14ac:dyDescent="0.25">
      <c r="A275" s="1">
        <v>45444</v>
      </c>
      <c r="B275" t="s">
        <v>7</v>
      </c>
      <c r="C275" t="s">
        <v>294</v>
      </c>
      <c r="D275" t="s">
        <v>304</v>
      </c>
      <c r="E275">
        <v>40454523.149999999</v>
      </c>
      <c r="F275">
        <v>33382543.739999998</v>
      </c>
      <c r="G275">
        <v>1012330.34</v>
      </c>
    </row>
    <row r="276" spans="1:7" x14ac:dyDescent="0.25">
      <c r="A276" s="1">
        <v>45474</v>
      </c>
      <c r="B276" t="s">
        <v>7</v>
      </c>
      <c r="C276" t="s">
        <v>294</v>
      </c>
      <c r="D276" t="s">
        <v>305</v>
      </c>
      <c r="E276">
        <v>35437565.490000002</v>
      </c>
      <c r="F276">
        <v>42150568.960000001</v>
      </c>
      <c r="G276">
        <v>467131.92</v>
      </c>
    </row>
    <row r="277" spans="1:7" x14ac:dyDescent="0.25">
      <c r="A277" s="1">
        <v>45627</v>
      </c>
      <c r="B277" t="s">
        <v>7</v>
      </c>
      <c r="C277" t="s">
        <v>294</v>
      </c>
      <c r="D277" t="s">
        <v>306</v>
      </c>
      <c r="E277">
        <v>44197978.850000001</v>
      </c>
      <c r="F277">
        <v>42677051.630000003</v>
      </c>
      <c r="G277">
        <v>277370.2</v>
      </c>
    </row>
    <row r="278" spans="1:7" x14ac:dyDescent="0.25">
      <c r="A278" s="1">
        <v>45413</v>
      </c>
      <c r="B278" t="s">
        <v>7</v>
      </c>
      <c r="C278" t="s">
        <v>307</v>
      </c>
      <c r="D278" t="s">
        <v>308</v>
      </c>
      <c r="E278">
        <v>81870993.680000007</v>
      </c>
      <c r="F278">
        <v>73780135.629999995</v>
      </c>
      <c r="G278">
        <v>4124719.6</v>
      </c>
    </row>
    <row r="279" spans="1:7" x14ac:dyDescent="0.25">
      <c r="A279" s="1">
        <v>45627</v>
      </c>
      <c r="B279" t="s">
        <v>7</v>
      </c>
      <c r="C279" t="s">
        <v>307</v>
      </c>
      <c r="D279" t="s">
        <v>309</v>
      </c>
      <c r="E279">
        <v>112285397.59</v>
      </c>
      <c r="F279">
        <v>112355786.72</v>
      </c>
      <c r="G279">
        <v>666360.36</v>
      </c>
    </row>
    <row r="280" spans="1:7" x14ac:dyDescent="0.25">
      <c r="A280" s="1">
        <v>45323</v>
      </c>
      <c r="B280" t="s">
        <v>7</v>
      </c>
      <c r="C280" t="s">
        <v>307</v>
      </c>
      <c r="D280" t="s">
        <v>310</v>
      </c>
      <c r="E280">
        <v>67897545.030000001</v>
      </c>
      <c r="F280">
        <v>60582207.43</v>
      </c>
      <c r="G280">
        <v>16233515.9</v>
      </c>
    </row>
    <row r="281" spans="1:7" x14ac:dyDescent="0.25">
      <c r="A281" s="1">
        <v>45292</v>
      </c>
      <c r="B281" t="s">
        <v>7</v>
      </c>
      <c r="C281" t="s">
        <v>307</v>
      </c>
      <c r="D281" t="s">
        <v>311</v>
      </c>
      <c r="E281">
        <v>63144181.57</v>
      </c>
      <c r="F281">
        <v>10923328.369999999</v>
      </c>
      <c r="G281">
        <v>78949478.069999993</v>
      </c>
    </row>
    <row r="282" spans="1:7" x14ac:dyDescent="0.25">
      <c r="A282" s="1">
        <v>45352</v>
      </c>
      <c r="B282" t="s">
        <v>7</v>
      </c>
      <c r="C282" t="s">
        <v>307</v>
      </c>
      <c r="D282" t="s">
        <v>312</v>
      </c>
      <c r="E282">
        <v>70182037.5</v>
      </c>
      <c r="F282">
        <v>70000246.829999998</v>
      </c>
      <c r="G282">
        <v>6349380.5599999996</v>
      </c>
    </row>
    <row r="283" spans="1:7" x14ac:dyDescent="0.25">
      <c r="A283" s="1">
        <v>45474</v>
      </c>
      <c r="B283" t="s">
        <v>7</v>
      </c>
      <c r="C283" t="s">
        <v>307</v>
      </c>
      <c r="D283" t="s">
        <v>313</v>
      </c>
      <c r="E283">
        <v>73426354.390000001</v>
      </c>
      <c r="F283">
        <v>93906584.530000001</v>
      </c>
      <c r="G283">
        <v>2666278.37</v>
      </c>
    </row>
    <row r="284" spans="1:7" x14ac:dyDescent="0.25">
      <c r="A284" s="1">
        <v>45597</v>
      </c>
      <c r="B284" t="s">
        <v>7</v>
      </c>
      <c r="C284" t="s">
        <v>307</v>
      </c>
      <c r="D284" t="s">
        <v>314</v>
      </c>
      <c r="E284">
        <v>110629309.92</v>
      </c>
      <c r="F284">
        <v>89871813.170000002</v>
      </c>
      <c r="G284">
        <v>1358457.79</v>
      </c>
    </row>
    <row r="285" spans="1:7" x14ac:dyDescent="0.25">
      <c r="A285" s="1">
        <v>45566</v>
      </c>
      <c r="B285" t="s">
        <v>7</v>
      </c>
      <c r="C285" t="s">
        <v>307</v>
      </c>
      <c r="D285" t="s">
        <v>315</v>
      </c>
      <c r="E285">
        <v>80574919.829999998</v>
      </c>
      <c r="F285">
        <v>75912142.640000001</v>
      </c>
      <c r="G285">
        <v>792155.95</v>
      </c>
    </row>
    <row r="286" spans="1:7" x14ac:dyDescent="0.25">
      <c r="A286" s="1">
        <v>45383</v>
      </c>
      <c r="B286" t="s">
        <v>7</v>
      </c>
      <c r="C286" t="s">
        <v>307</v>
      </c>
      <c r="D286" t="s">
        <v>316</v>
      </c>
      <c r="E286">
        <v>71201214.409999996</v>
      </c>
      <c r="F286">
        <v>69858073.799999997</v>
      </c>
      <c r="G286">
        <v>6266465.8499999996</v>
      </c>
    </row>
    <row r="287" spans="1:7" x14ac:dyDescent="0.25">
      <c r="A287" s="1">
        <v>45536</v>
      </c>
      <c r="B287" t="s">
        <v>7</v>
      </c>
      <c r="C287" t="s">
        <v>307</v>
      </c>
      <c r="D287" t="s">
        <v>317</v>
      </c>
      <c r="E287">
        <v>73407842.019999996</v>
      </c>
      <c r="F287">
        <v>74692380.230000004</v>
      </c>
      <c r="G287">
        <v>1109191.3600000001</v>
      </c>
    </row>
    <row r="288" spans="1:7" x14ac:dyDescent="0.25">
      <c r="A288" s="1">
        <v>45444</v>
      </c>
      <c r="B288" t="s">
        <v>7</v>
      </c>
      <c r="C288" t="s">
        <v>307</v>
      </c>
      <c r="D288" t="s">
        <v>318</v>
      </c>
      <c r="E288">
        <v>92431555.040000007</v>
      </c>
      <c r="F288">
        <v>79484309.769999996</v>
      </c>
      <c r="G288">
        <v>2518478.48</v>
      </c>
    </row>
    <row r="289" spans="1:7" x14ac:dyDescent="0.25">
      <c r="A289" s="1">
        <v>45505</v>
      </c>
      <c r="B289" t="s">
        <v>7</v>
      </c>
      <c r="C289" t="s">
        <v>307</v>
      </c>
      <c r="D289" t="s">
        <v>319</v>
      </c>
      <c r="E289">
        <v>74480846.900000006</v>
      </c>
      <c r="F289">
        <v>72314800.900000006</v>
      </c>
      <c r="G289">
        <v>2139910.92</v>
      </c>
    </row>
    <row r="290" spans="1:7" x14ac:dyDescent="0.25">
      <c r="A290" s="1">
        <v>45597</v>
      </c>
      <c r="B290" t="s">
        <v>7</v>
      </c>
      <c r="C290" t="s">
        <v>320</v>
      </c>
      <c r="D290" t="s">
        <v>321</v>
      </c>
      <c r="E290">
        <v>43148156.159999996</v>
      </c>
      <c r="F290">
        <v>37607783.829999998</v>
      </c>
      <c r="G290">
        <v>337909.65</v>
      </c>
    </row>
    <row r="291" spans="1:7" x14ac:dyDescent="0.25">
      <c r="A291" s="1">
        <v>45323</v>
      </c>
      <c r="B291" t="s">
        <v>7</v>
      </c>
      <c r="C291" t="s">
        <v>320</v>
      </c>
      <c r="D291" t="s">
        <v>322</v>
      </c>
      <c r="E291">
        <v>22663157.010000002</v>
      </c>
      <c r="F291">
        <v>20325336.940000001</v>
      </c>
      <c r="G291">
        <v>13660994.720000001</v>
      </c>
    </row>
    <row r="292" spans="1:7" x14ac:dyDescent="0.25">
      <c r="A292" s="1">
        <v>45292</v>
      </c>
      <c r="B292" t="s">
        <v>7</v>
      </c>
      <c r="C292" t="s">
        <v>320</v>
      </c>
      <c r="D292" t="s">
        <v>323</v>
      </c>
      <c r="E292">
        <v>22712100.739999998</v>
      </c>
      <c r="F292">
        <v>5083827.34</v>
      </c>
      <c r="G292">
        <v>27317710.890000001</v>
      </c>
    </row>
    <row r="293" spans="1:7" x14ac:dyDescent="0.25">
      <c r="A293" s="1">
        <v>45444</v>
      </c>
      <c r="B293" t="s">
        <v>7</v>
      </c>
      <c r="C293" t="s">
        <v>320</v>
      </c>
      <c r="D293" t="s">
        <v>324</v>
      </c>
      <c r="E293">
        <v>36416090.170000002</v>
      </c>
      <c r="F293">
        <v>27781336.949999999</v>
      </c>
      <c r="G293">
        <v>3307650.27</v>
      </c>
    </row>
    <row r="294" spans="1:7" x14ac:dyDescent="0.25">
      <c r="A294" s="1">
        <v>45413</v>
      </c>
      <c r="B294" t="s">
        <v>7</v>
      </c>
      <c r="C294" t="s">
        <v>320</v>
      </c>
      <c r="D294" t="s">
        <v>325</v>
      </c>
      <c r="E294">
        <v>28788629.809999999</v>
      </c>
      <c r="F294">
        <v>27464834.940000001</v>
      </c>
      <c r="G294">
        <v>5337794.3</v>
      </c>
    </row>
    <row r="295" spans="1:7" x14ac:dyDescent="0.25">
      <c r="A295" s="1">
        <v>45383</v>
      </c>
      <c r="B295" t="s">
        <v>7</v>
      </c>
      <c r="C295" t="s">
        <v>320</v>
      </c>
      <c r="D295" t="s">
        <v>326</v>
      </c>
      <c r="E295">
        <v>25691449.039999999</v>
      </c>
      <c r="F295">
        <v>25958893.07</v>
      </c>
      <c r="G295">
        <v>7844782.96</v>
      </c>
    </row>
    <row r="296" spans="1:7" x14ac:dyDescent="0.25">
      <c r="A296" s="1">
        <v>45352</v>
      </c>
      <c r="B296" t="s">
        <v>7</v>
      </c>
      <c r="C296" t="s">
        <v>320</v>
      </c>
      <c r="D296" t="s">
        <v>327</v>
      </c>
      <c r="E296">
        <v>25416447.390000001</v>
      </c>
      <c r="F296">
        <v>23971672.59</v>
      </c>
      <c r="G296">
        <v>9996651.3499999996</v>
      </c>
    </row>
    <row r="297" spans="1:7" x14ac:dyDescent="0.25">
      <c r="A297" s="1">
        <v>45536</v>
      </c>
      <c r="B297" t="s">
        <v>7</v>
      </c>
      <c r="C297" t="s">
        <v>320</v>
      </c>
      <c r="D297" t="s">
        <v>328</v>
      </c>
      <c r="E297">
        <v>29191894.469999999</v>
      </c>
      <c r="F297">
        <v>28661219.760000002</v>
      </c>
      <c r="G297">
        <v>395200.3</v>
      </c>
    </row>
    <row r="298" spans="1:7" x14ac:dyDescent="0.25">
      <c r="A298" s="1">
        <v>45566</v>
      </c>
      <c r="B298" t="s">
        <v>7</v>
      </c>
      <c r="C298" t="s">
        <v>320</v>
      </c>
      <c r="D298" t="s">
        <v>329</v>
      </c>
      <c r="E298">
        <v>29954981.780000001</v>
      </c>
      <c r="F298">
        <v>29256987.18</v>
      </c>
      <c r="G298">
        <v>673720.86</v>
      </c>
    </row>
    <row r="299" spans="1:7" x14ac:dyDescent="0.25">
      <c r="A299" s="1">
        <v>45627</v>
      </c>
      <c r="B299" t="s">
        <v>7</v>
      </c>
      <c r="C299" t="s">
        <v>320</v>
      </c>
      <c r="D299" t="s">
        <v>330</v>
      </c>
      <c r="E299">
        <v>40122463.359999999</v>
      </c>
      <c r="F299">
        <v>40593275.920000002</v>
      </c>
      <c r="G299">
        <v>540563.92000000004</v>
      </c>
    </row>
    <row r="300" spans="1:7" x14ac:dyDescent="0.25">
      <c r="A300" s="1">
        <v>45505</v>
      </c>
      <c r="B300" t="s">
        <v>7</v>
      </c>
      <c r="C300" t="s">
        <v>320</v>
      </c>
      <c r="D300" t="s">
        <v>331</v>
      </c>
      <c r="E300">
        <v>27932026.66</v>
      </c>
      <c r="F300">
        <v>29367580.550000001</v>
      </c>
      <c r="G300">
        <v>673646.8</v>
      </c>
    </row>
    <row r="301" spans="1:7" x14ac:dyDescent="0.25">
      <c r="A301" s="1">
        <v>45474</v>
      </c>
      <c r="B301" t="s">
        <v>7</v>
      </c>
      <c r="C301" t="s">
        <v>320</v>
      </c>
      <c r="D301" t="s">
        <v>332</v>
      </c>
      <c r="E301">
        <v>29631090.609999999</v>
      </c>
      <c r="F301">
        <v>34382889.270000003</v>
      </c>
      <c r="G301">
        <v>5199730.1100000003</v>
      </c>
    </row>
    <row r="302" spans="1:7" x14ac:dyDescent="0.25">
      <c r="A302" s="1">
        <v>45352</v>
      </c>
      <c r="B302" t="s">
        <v>7</v>
      </c>
      <c r="C302" t="s">
        <v>333</v>
      </c>
      <c r="D302" t="s">
        <v>334</v>
      </c>
      <c r="E302">
        <v>25611986.68</v>
      </c>
      <c r="F302">
        <v>24076881.02</v>
      </c>
      <c r="G302">
        <v>4214037.1500000004</v>
      </c>
    </row>
    <row r="303" spans="1:7" x14ac:dyDescent="0.25">
      <c r="A303" s="1">
        <v>45292</v>
      </c>
      <c r="B303" t="s">
        <v>7</v>
      </c>
      <c r="C303" t="s">
        <v>333</v>
      </c>
      <c r="D303" t="s">
        <v>335</v>
      </c>
      <c r="E303">
        <v>17186678.920000002</v>
      </c>
      <c r="F303">
        <v>4162755.12</v>
      </c>
      <c r="G303">
        <v>25883390.32</v>
      </c>
    </row>
    <row r="304" spans="1:7" x14ac:dyDescent="0.25">
      <c r="A304" s="1">
        <v>45505</v>
      </c>
      <c r="B304" t="s">
        <v>7</v>
      </c>
      <c r="C304" t="s">
        <v>333</v>
      </c>
      <c r="D304" t="s">
        <v>336</v>
      </c>
      <c r="E304">
        <v>25904724.079999998</v>
      </c>
      <c r="F304">
        <v>21023883.109999999</v>
      </c>
      <c r="G304">
        <v>37663.18</v>
      </c>
    </row>
    <row r="305" spans="1:7" x14ac:dyDescent="0.25">
      <c r="A305" s="1">
        <v>45597</v>
      </c>
      <c r="B305" t="s">
        <v>7</v>
      </c>
      <c r="C305" t="s">
        <v>333</v>
      </c>
      <c r="D305" t="s">
        <v>337</v>
      </c>
      <c r="E305">
        <v>31616415.879999999</v>
      </c>
      <c r="F305">
        <v>39774538.780000001</v>
      </c>
      <c r="G305">
        <v>96798.28</v>
      </c>
    </row>
    <row r="306" spans="1:7" x14ac:dyDescent="0.25">
      <c r="A306" s="1">
        <v>45383</v>
      </c>
      <c r="B306" t="s">
        <v>7</v>
      </c>
      <c r="C306" t="s">
        <v>333</v>
      </c>
      <c r="D306" t="s">
        <v>338</v>
      </c>
      <c r="E306">
        <v>31717066.57</v>
      </c>
      <c r="F306">
        <v>21647669.82</v>
      </c>
      <c r="G306">
        <v>2819888.52</v>
      </c>
    </row>
    <row r="307" spans="1:7" x14ac:dyDescent="0.25">
      <c r="A307" s="1">
        <v>45566</v>
      </c>
      <c r="B307" t="s">
        <v>7</v>
      </c>
      <c r="C307" t="s">
        <v>333</v>
      </c>
      <c r="D307" t="s">
        <v>339</v>
      </c>
      <c r="E307">
        <v>33732094.880000003</v>
      </c>
      <c r="F307">
        <v>21511894.809999999</v>
      </c>
      <c r="G307">
        <v>991443.18</v>
      </c>
    </row>
    <row r="308" spans="1:7" x14ac:dyDescent="0.25">
      <c r="A308" s="1">
        <v>45627</v>
      </c>
      <c r="B308" t="s">
        <v>7</v>
      </c>
      <c r="C308" t="s">
        <v>333</v>
      </c>
      <c r="D308" t="s">
        <v>340</v>
      </c>
      <c r="E308">
        <v>35853424.759999998</v>
      </c>
      <c r="F308">
        <v>35859285.039999999</v>
      </c>
      <c r="G308">
        <v>453542.24</v>
      </c>
    </row>
    <row r="309" spans="1:7" x14ac:dyDescent="0.25">
      <c r="A309" s="1">
        <v>45536</v>
      </c>
      <c r="B309" t="s">
        <v>7</v>
      </c>
      <c r="C309" t="s">
        <v>333</v>
      </c>
      <c r="D309" t="s">
        <v>341</v>
      </c>
      <c r="E309">
        <v>24426467.329999998</v>
      </c>
      <c r="F309">
        <v>28481675.48</v>
      </c>
      <c r="G309">
        <v>1362991.2</v>
      </c>
    </row>
    <row r="310" spans="1:7" x14ac:dyDescent="0.25">
      <c r="A310" s="1">
        <v>45444</v>
      </c>
      <c r="B310" t="s">
        <v>7</v>
      </c>
      <c r="C310" t="s">
        <v>333</v>
      </c>
      <c r="D310" t="s">
        <v>342</v>
      </c>
      <c r="E310">
        <v>29044589.460000001</v>
      </c>
      <c r="F310">
        <v>28978572.66</v>
      </c>
      <c r="G310">
        <v>769179.81</v>
      </c>
    </row>
    <row r="311" spans="1:7" x14ac:dyDescent="0.25">
      <c r="A311" s="1">
        <v>45413</v>
      </c>
      <c r="B311" t="s">
        <v>7</v>
      </c>
      <c r="C311" t="s">
        <v>333</v>
      </c>
      <c r="D311" t="s">
        <v>343</v>
      </c>
      <c r="E311">
        <v>26950130.199999999</v>
      </c>
      <c r="F311">
        <v>30417231.579999998</v>
      </c>
      <c r="G311">
        <v>3355280.9</v>
      </c>
    </row>
    <row r="312" spans="1:7" x14ac:dyDescent="0.25">
      <c r="A312" s="1">
        <v>45474</v>
      </c>
      <c r="B312" t="s">
        <v>7</v>
      </c>
      <c r="C312" t="s">
        <v>333</v>
      </c>
      <c r="D312" t="s">
        <v>344</v>
      </c>
      <c r="E312">
        <v>28728651.440000001</v>
      </c>
      <c r="F312">
        <v>29830522.77</v>
      </c>
      <c r="G312">
        <v>2725198.83</v>
      </c>
    </row>
    <row r="313" spans="1:7" x14ac:dyDescent="0.25">
      <c r="A313" s="1">
        <v>45323</v>
      </c>
      <c r="B313" t="s">
        <v>7</v>
      </c>
      <c r="C313" t="s">
        <v>333</v>
      </c>
      <c r="D313" t="s">
        <v>345</v>
      </c>
      <c r="E313">
        <v>19318322.170000002</v>
      </c>
      <c r="F313">
        <v>17158907.16</v>
      </c>
      <c r="G313">
        <v>5043187</v>
      </c>
    </row>
    <row r="314" spans="1:7" x14ac:dyDescent="0.25">
      <c r="A314" s="1">
        <v>45352</v>
      </c>
      <c r="B314" t="s">
        <v>7</v>
      </c>
      <c r="C314" t="s">
        <v>346</v>
      </c>
      <c r="D314" t="s">
        <v>347</v>
      </c>
      <c r="E314">
        <v>5196449528.7700005</v>
      </c>
      <c r="F314">
        <v>5283524791.6099997</v>
      </c>
      <c r="G314">
        <v>310396386.13</v>
      </c>
    </row>
    <row r="315" spans="1:7" x14ac:dyDescent="0.25">
      <c r="A315" s="1">
        <v>45323</v>
      </c>
      <c r="B315" t="s">
        <v>7</v>
      </c>
      <c r="C315" t="s">
        <v>346</v>
      </c>
      <c r="D315" t="s">
        <v>348</v>
      </c>
      <c r="E315">
        <v>5111092111.8299999</v>
      </c>
      <c r="F315">
        <v>5305671157.9399996</v>
      </c>
      <c r="G315">
        <v>480326691.52999997</v>
      </c>
    </row>
    <row r="316" spans="1:7" x14ac:dyDescent="0.25">
      <c r="A316" s="1">
        <v>45292</v>
      </c>
      <c r="B316" t="s">
        <v>7</v>
      </c>
      <c r="C316" t="s">
        <v>346</v>
      </c>
      <c r="D316" t="s">
        <v>349</v>
      </c>
      <c r="E316">
        <v>2656479843.96</v>
      </c>
      <c r="F316">
        <v>2311004721.6399999</v>
      </c>
      <c r="G316">
        <v>9196508331.7999992</v>
      </c>
    </row>
    <row r="317" spans="1:7" x14ac:dyDescent="0.25">
      <c r="A317" s="1">
        <v>45627</v>
      </c>
      <c r="B317" t="s">
        <v>7</v>
      </c>
      <c r="C317" t="s">
        <v>346</v>
      </c>
      <c r="D317" t="s">
        <v>350</v>
      </c>
      <c r="E317">
        <v>7514420789.8800001</v>
      </c>
      <c r="F317">
        <v>7503265185.6000004</v>
      </c>
      <c r="G317">
        <v>118480465.66</v>
      </c>
    </row>
    <row r="318" spans="1:7" x14ac:dyDescent="0.25">
      <c r="A318" s="1">
        <v>45413</v>
      </c>
      <c r="B318" t="s">
        <v>7</v>
      </c>
      <c r="C318" t="s">
        <v>346</v>
      </c>
      <c r="D318" t="s">
        <v>351</v>
      </c>
      <c r="E318">
        <v>6762685163.04</v>
      </c>
      <c r="F318">
        <v>6747237334.1199999</v>
      </c>
      <c r="G318">
        <v>129102789.78</v>
      </c>
    </row>
    <row r="319" spans="1:7" x14ac:dyDescent="0.25">
      <c r="A319" s="1">
        <v>45566</v>
      </c>
      <c r="B319" t="s">
        <v>7</v>
      </c>
      <c r="C319" t="s">
        <v>346</v>
      </c>
      <c r="D319" t="s">
        <v>352</v>
      </c>
      <c r="E319">
        <v>6593853537.0100002</v>
      </c>
      <c r="F319">
        <v>6548263069.1999998</v>
      </c>
      <c r="G319">
        <v>85480949.260000005</v>
      </c>
    </row>
    <row r="320" spans="1:7" x14ac:dyDescent="0.25">
      <c r="A320" s="1">
        <v>45444</v>
      </c>
      <c r="B320" t="s">
        <v>7</v>
      </c>
      <c r="C320" t="s">
        <v>346</v>
      </c>
      <c r="D320" t="s">
        <v>353</v>
      </c>
      <c r="E320">
        <v>8441877290.2799997</v>
      </c>
      <c r="F320">
        <v>8421908664.4399996</v>
      </c>
      <c r="G320">
        <v>152582007.13</v>
      </c>
    </row>
    <row r="321" spans="1:7" x14ac:dyDescent="0.25">
      <c r="A321" s="1">
        <v>45383</v>
      </c>
      <c r="B321" t="s">
        <v>7</v>
      </c>
      <c r="C321" t="s">
        <v>346</v>
      </c>
      <c r="D321" t="s">
        <v>354</v>
      </c>
      <c r="E321">
        <v>7112326410.7799997</v>
      </c>
      <c r="F321">
        <v>7154640216.8500004</v>
      </c>
      <c r="G321">
        <v>96075398.680000007</v>
      </c>
    </row>
    <row r="322" spans="1:7" x14ac:dyDescent="0.25">
      <c r="A322" s="1">
        <v>45536</v>
      </c>
      <c r="B322" t="s">
        <v>7</v>
      </c>
      <c r="C322" t="s">
        <v>346</v>
      </c>
      <c r="D322" t="s">
        <v>355</v>
      </c>
      <c r="E322">
        <v>7815537749.2399998</v>
      </c>
      <c r="F322">
        <v>7846544113.3500004</v>
      </c>
      <c r="G322">
        <v>29123175.140000001</v>
      </c>
    </row>
    <row r="323" spans="1:7" x14ac:dyDescent="0.25">
      <c r="A323" s="1">
        <v>45505</v>
      </c>
      <c r="B323" t="s">
        <v>7</v>
      </c>
      <c r="C323" t="s">
        <v>346</v>
      </c>
      <c r="D323" t="s">
        <v>356</v>
      </c>
      <c r="E323">
        <v>6835111718.3199997</v>
      </c>
      <c r="F323">
        <v>6808532969.6800003</v>
      </c>
      <c r="G323">
        <v>34235783.200000003</v>
      </c>
    </row>
    <row r="324" spans="1:7" x14ac:dyDescent="0.25">
      <c r="A324" s="1">
        <v>45474</v>
      </c>
      <c r="B324" t="s">
        <v>7</v>
      </c>
      <c r="C324" t="s">
        <v>346</v>
      </c>
      <c r="D324" t="s">
        <v>357</v>
      </c>
      <c r="E324">
        <v>6921353228.79</v>
      </c>
      <c r="F324">
        <v>6951579526.8100004</v>
      </c>
      <c r="G324">
        <v>101399043.43000001</v>
      </c>
    </row>
    <row r="325" spans="1:7" x14ac:dyDescent="0.25">
      <c r="A325" s="1">
        <v>45597</v>
      </c>
      <c r="B325" t="s">
        <v>7</v>
      </c>
      <c r="C325" t="s">
        <v>346</v>
      </c>
      <c r="D325" t="s">
        <v>358</v>
      </c>
      <c r="E325">
        <v>6825200657.4899998</v>
      </c>
      <c r="F325">
        <v>6839736517.2700005</v>
      </c>
      <c r="G325">
        <v>64406278.130000003</v>
      </c>
    </row>
    <row r="326" spans="1:7" x14ac:dyDescent="0.25">
      <c r="A326" s="1">
        <v>45474</v>
      </c>
      <c r="B326" t="s">
        <v>7</v>
      </c>
      <c r="C326" t="s">
        <v>359</v>
      </c>
      <c r="D326" t="s">
        <v>360</v>
      </c>
      <c r="E326">
        <v>170973045.36000001</v>
      </c>
      <c r="F326">
        <v>170927121.41</v>
      </c>
      <c r="G326">
        <v>893361.01</v>
      </c>
    </row>
    <row r="327" spans="1:7" x14ac:dyDescent="0.25">
      <c r="A327" s="1">
        <v>45505</v>
      </c>
      <c r="B327" t="s">
        <v>7</v>
      </c>
      <c r="C327" t="s">
        <v>359</v>
      </c>
      <c r="D327" t="s">
        <v>361</v>
      </c>
      <c r="E327">
        <v>177564668.40000001</v>
      </c>
      <c r="F327">
        <v>175795829</v>
      </c>
      <c r="G327">
        <v>1126529.68</v>
      </c>
    </row>
    <row r="328" spans="1:7" x14ac:dyDescent="0.25">
      <c r="A328" s="1">
        <v>45536</v>
      </c>
      <c r="B328" t="s">
        <v>7</v>
      </c>
      <c r="C328" t="s">
        <v>359</v>
      </c>
      <c r="D328" t="s">
        <v>362</v>
      </c>
      <c r="E328">
        <v>170818859.63999999</v>
      </c>
      <c r="F328">
        <v>164880485.63999999</v>
      </c>
      <c r="G328">
        <v>1295845.06</v>
      </c>
    </row>
    <row r="329" spans="1:7" x14ac:dyDescent="0.25">
      <c r="A329" s="1">
        <v>45352</v>
      </c>
      <c r="B329" t="s">
        <v>7</v>
      </c>
      <c r="C329" t="s">
        <v>359</v>
      </c>
      <c r="D329" t="s">
        <v>363</v>
      </c>
      <c r="E329">
        <v>156896224.49000001</v>
      </c>
      <c r="F329">
        <v>145278856.72</v>
      </c>
      <c r="G329">
        <v>12518624.039999999</v>
      </c>
    </row>
    <row r="330" spans="1:7" x14ac:dyDescent="0.25">
      <c r="A330" s="1">
        <v>45597</v>
      </c>
      <c r="B330" t="s">
        <v>7</v>
      </c>
      <c r="C330" t="s">
        <v>359</v>
      </c>
      <c r="D330" t="s">
        <v>364</v>
      </c>
      <c r="E330">
        <v>248570914.97</v>
      </c>
      <c r="F330">
        <v>174807622.5</v>
      </c>
      <c r="G330">
        <v>2099593.92</v>
      </c>
    </row>
    <row r="331" spans="1:7" x14ac:dyDescent="0.25">
      <c r="A331" s="1">
        <v>45292</v>
      </c>
      <c r="B331" t="s">
        <v>7</v>
      </c>
      <c r="C331" t="s">
        <v>359</v>
      </c>
      <c r="D331" t="s">
        <v>365</v>
      </c>
      <c r="E331">
        <v>142053966.97</v>
      </c>
      <c r="F331">
        <v>16660932.460000001</v>
      </c>
      <c r="G331">
        <v>174235108.65000001</v>
      </c>
    </row>
    <row r="332" spans="1:7" x14ac:dyDescent="0.25">
      <c r="A332" s="1">
        <v>45383</v>
      </c>
      <c r="B332" t="s">
        <v>7</v>
      </c>
      <c r="C332" t="s">
        <v>359</v>
      </c>
      <c r="D332" t="s">
        <v>366</v>
      </c>
      <c r="E332">
        <v>155173408.97</v>
      </c>
      <c r="F332">
        <v>160525146.02000001</v>
      </c>
      <c r="G332">
        <v>6476903.3799999999</v>
      </c>
    </row>
    <row r="333" spans="1:7" x14ac:dyDescent="0.25">
      <c r="A333" s="1">
        <v>45566</v>
      </c>
      <c r="B333" t="s">
        <v>7</v>
      </c>
      <c r="C333" t="s">
        <v>359</v>
      </c>
      <c r="D333" t="s">
        <v>367</v>
      </c>
      <c r="E333">
        <v>178211506.34</v>
      </c>
      <c r="F333">
        <v>180209313.97</v>
      </c>
      <c r="G333">
        <v>3209170.43</v>
      </c>
    </row>
    <row r="334" spans="1:7" x14ac:dyDescent="0.25">
      <c r="A334" s="1">
        <v>45413</v>
      </c>
      <c r="B334" t="s">
        <v>7</v>
      </c>
      <c r="C334" t="s">
        <v>359</v>
      </c>
      <c r="D334" t="s">
        <v>368</v>
      </c>
      <c r="E334">
        <v>172523506.59999999</v>
      </c>
      <c r="F334">
        <v>160106425.03999999</v>
      </c>
      <c r="G334">
        <v>2275882.21</v>
      </c>
    </row>
    <row r="335" spans="1:7" x14ac:dyDescent="0.25">
      <c r="A335" s="1">
        <v>45627</v>
      </c>
      <c r="B335" t="s">
        <v>7</v>
      </c>
      <c r="C335" t="s">
        <v>359</v>
      </c>
      <c r="D335" t="s">
        <v>369</v>
      </c>
      <c r="E335">
        <v>210296816.66999999</v>
      </c>
      <c r="F335">
        <v>237671228.00999999</v>
      </c>
      <c r="G335">
        <v>13077554.92</v>
      </c>
    </row>
    <row r="336" spans="1:7" x14ac:dyDescent="0.25">
      <c r="A336" s="1">
        <v>45444</v>
      </c>
      <c r="B336" t="s">
        <v>7</v>
      </c>
      <c r="C336" t="s">
        <v>359</v>
      </c>
      <c r="D336" t="s">
        <v>370</v>
      </c>
      <c r="E336">
        <v>166890088.02000001</v>
      </c>
      <c r="F336">
        <v>159962587.41999999</v>
      </c>
      <c r="G336">
        <v>1880478.35</v>
      </c>
    </row>
    <row r="337" spans="1:7" x14ac:dyDescent="0.25">
      <c r="A337" s="1">
        <v>45323</v>
      </c>
      <c r="B337" t="s">
        <v>7</v>
      </c>
      <c r="C337" t="s">
        <v>359</v>
      </c>
      <c r="D337" t="s">
        <v>371</v>
      </c>
      <c r="E337">
        <v>150223491.80000001</v>
      </c>
      <c r="F337">
        <v>133990476.70999999</v>
      </c>
      <c r="G337">
        <v>35819332.030000001</v>
      </c>
    </row>
    <row r="338" spans="1:7" x14ac:dyDescent="0.25">
      <c r="A338" s="1">
        <v>45597</v>
      </c>
      <c r="B338" t="s">
        <v>7</v>
      </c>
      <c r="C338" t="s">
        <v>372</v>
      </c>
      <c r="D338" t="s">
        <v>373</v>
      </c>
      <c r="E338">
        <v>51818636.390000001</v>
      </c>
      <c r="F338">
        <v>41358202.909999996</v>
      </c>
      <c r="G338">
        <v>274168.95</v>
      </c>
    </row>
    <row r="339" spans="1:7" x14ac:dyDescent="0.25">
      <c r="A339" s="1">
        <v>45505</v>
      </c>
      <c r="B339" t="s">
        <v>7</v>
      </c>
      <c r="C339" t="s">
        <v>372</v>
      </c>
      <c r="D339" t="s">
        <v>374</v>
      </c>
      <c r="E339">
        <v>32856096.23</v>
      </c>
      <c r="F339">
        <v>32091591.59</v>
      </c>
      <c r="G339">
        <v>1098790.04</v>
      </c>
    </row>
    <row r="340" spans="1:7" x14ac:dyDescent="0.25">
      <c r="A340" s="1">
        <v>45292</v>
      </c>
      <c r="B340" t="s">
        <v>7</v>
      </c>
      <c r="C340" t="s">
        <v>372</v>
      </c>
      <c r="D340" t="s">
        <v>375</v>
      </c>
      <c r="E340">
        <v>27920992.52</v>
      </c>
      <c r="F340">
        <v>6110092.5999999996</v>
      </c>
      <c r="G340">
        <v>34553387.060000002</v>
      </c>
    </row>
    <row r="341" spans="1:7" x14ac:dyDescent="0.25">
      <c r="A341" s="1">
        <v>45474</v>
      </c>
      <c r="B341" t="s">
        <v>7</v>
      </c>
      <c r="C341" t="s">
        <v>372</v>
      </c>
      <c r="D341" t="s">
        <v>376</v>
      </c>
      <c r="E341">
        <v>32668453.809999999</v>
      </c>
      <c r="F341">
        <v>38109748.950000003</v>
      </c>
      <c r="G341">
        <v>916566.27</v>
      </c>
    </row>
    <row r="342" spans="1:7" x14ac:dyDescent="0.25">
      <c r="A342" s="1">
        <v>45444</v>
      </c>
      <c r="B342" t="s">
        <v>7</v>
      </c>
      <c r="C342" t="s">
        <v>372</v>
      </c>
      <c r="D342" t="s">
        <v>377</v>
      </c>
      <c r="E342">
        <v>37017941.82</v>
      </c>
      <c r="F342">
        <v>34661895.350000001</v>
      </c>
      <c r="G342">
        <v>1050314.1599999999</v>
      </c>
    </row>
    <row r="343" spans="1:7" x14ac:dyDescent="0.25">
      <c r="A343" s="1">
        <v>45566</v>
      </c>
      <c r="B343" t="s">
        <v>7</v>
      </c>
      <c r="C343" t="s">
        <v>372</v>
      </c>
      <c r="D343" t="s">
        <v>378</v>
      </c>
      <c r="E343">
        <v>35817651.859999999</v>
      </c>
      <c r="F343">
        <v>35968482.399999999</v>
      </c>
      <c r="G343">
        <v>552005.44999999995</v>
      </c>
    </row>
    <row r="344" spans="1:7" x14ac:dyDescent="0.25">
      <c r="A344" s="1">
        <v>45323</v>
      </c>
      <c r="B344" t="s">
        <v>7</v>
      </c>
      <c r="C344" t="s">
        <v>372</v>
      </c>
      <c r="D344" t="s">
        <v>379</v>
      </c>
      <c r="E344">
        <v>28555608.48</v>
      </c>
      <c r="F344">
        <v>28469856.260000002</v>
      </c>
      <c r="G344">
        <v>3743450.58</v>
      </c>
    </row>
    <row r="345" spans="1:7" x14ac:dyDescent="0.25">
      <c r="A345" s="1">
        <v>45627</v>
      </c>
      <c r="B345" t="s">
        <v>7</v>
      </c>
      <c r="C345" t="s">
        <v>372</v>
      </c>
      <c r="D345" t="s">
        <v>380</v>
      </c>
      <c r="E345">
        <v>45444048.25</v>
      </c>
      <c r="F345">
        <v>46927351.219999999</v>
      </c>
      <c r="G345">
        <v>903236.08</v>
      </c>
    </row>
    <row r="346" spans="1:7" x14ac:dyDescent="0.25">
      <c r="A346" s="1">
        <v>45352</v>
      </c>
      <c r="B346" t="s">
        <v>7</v>
      </c>
      <c r="C346" t="s">
        <v>372</v>
      </c>
      <c r="D346" t="s">
        <v>381</v>
      </c>
      <c r="E346">
        <v>29768782.280000001</v>
      </c>
      <c r="F346">
        <v>29311909.899999999</v>
      </c>
      <c r="G346">
        <v>3530212.98</v>
      </c>
    </row>
    <row r="347" spans="1:7" x14ac:dyDescent="0.25">
      <c r="A347" s="1">
        <v>45536</v>
      </c>
      <c r="B347" t="s">
        <v>7</v>
      </c>
      <c r="C347" t="s">
        <v>372</v>
      </c>
      <c r="D347" t="s">
        <v>382</v>
      </c>
      <c r="E347">
        <v>34781798.689999998</v>
      </c>
      <c r="F347">
        <v>34170791.600000001</v>
      </c>
      <c r="G347">
        <v>1402509.95</v>
      </c>
    </row>
    <row r="348" spans="1:7" x14ac:dyDescent="0.25">
      <c r="A348" s="1">
        <v>45413</v>
      </c>
      <c r="B348" t="s">
        <v>7</v>
      </c>
      <c r="C348" t="s">
        <v>372</v>
      </c>
      <c r="D348" t="s">
        <v>383</v>
      </c>
      <c r="E348">
        <v>34667371.700000003</v>
      </c>
      <c r="F348">
        <v>31113236.219999999</v>
      </c>
      <c r="G348">
        <v>4738115.8499999996</v>
      </c>
    </row>
    <row r="349" spans="1:7" x14ac:dyDescent="0.25">
      <c r="A349" s="1">
        <v>45383</v>
      </c>
      <c r="B349" t="s">
        <v>7</v>
      </c>
      <c r="C349" t="s">
        <v>372</v>
      </c>
      <c r="D349" t="s">
        <v>384</v>
      </c>
      <c r="E349">
        <v>29828027.350000001</v>
      </c>
      <c r="F349">
        <v>29422608.280000001</v>
      </c>
      <c r="G349">
        <v>2712052.56</v>
      </c>
    </row>
    <row r="350" spans="1:7" x14ac:dyDescent="0.25">
      <c r="A350" s="1">
        <v>45292</v>
      </c>
      <c r="B350" t="s">
        <v>7</v>
      </c>
      <c r="C350" t="s">
        <v>385</v>
      </c>
      <c r="D350" t="s">
        <v>386</v>
      </c>
      <c r="E350">
        <v>31923399.329999998</v>
      </c>
      <c r="F350">
        <v>6842533.2199999997</v>
      </c>
      <c r="G350">
        <v>41319324.030000001</v>
      </c>
    </row>
    <row r="351" spans="1:7" x14ac:dyDescent="0.25">
      <c r="A351" s="1">
        <v>45352</v>
      </c>
      <c r="B351" t="s">
        <v>7</v>
      </c>
      <c r="C351" t="s">
        <v>385</v>
      </c>
      <c r="D351" t="s">
        <v>387</v>
      </c>
      <c r="E351">
        <v>34433994.32</v>
      </c>
      <c r="F351">
        <v>32860904.68</v>
      </c>
      <c r="G351">
        <v>4659460.51</v>
      </c>
    </row>
    <row r="352" spans="1:7" x14ac:dyDescent="0.25">
      <c r="A352" s="1">
        <v>45413</v>
      </c>
      <c r="B352" t="s">
        <v>7</v>
      </c>
      <c r="C352" t="s">
        <v>385</v>
      </c>
      <c r="D352" t="s">
        <v>388</v>
      </c>
      <c r="E352">
        <v>37405868.079999998</v>
      </c>
      <c r="F352">
        <v>31818733.609999999</v>
      </c>
      <c r="G352">
        <v>1697501.41</v>
      </c>
    </row>
    <row r="353" spans="1:7" x14ac:dyDescent="0.25">
      <c r="A353" s="1">
        <v>45536</v>
      </c>
      <c r="B353" t="s">
        <v>7</v>
      </c>
      <c r="C353" t="s">
        <v>385</v>
      </c>
      <c r="D353" t="s">
        <v>389</v>
      </c>
      <c r="E353">
        <v>37605395.170000002</v>
      </c>
      <c r="F353">
        <v>38119496.509999998</v>
      </c>
      <c r="G353">
        <v>719298.78</v>
      </c>
    </row>
    <row r="354" spans="1:7" x14ac:dyDescent="0.25">
      <c r="A354" s="1">
        <v>45566</v>
      </c>
      <c r="B354" t="s">
        <v>7</v>
      </c>
      <c r="C354" t="s">
        <v>385</v>
      </c>
      <c r="D354" t="s">
        <v>390</v>
      </c>
      <c r="E354">
        <v>38713938.189999998</v>
      </c>
      <c r="F354">
        <v>39537996.43</v>
      </c>
      <c r="G354">
        <v>566956.78</v>
      </c>
    </row>
    <row r="355" spans="1:7" x14ac:dyDescent="0.25">
      <c r="A355" s="1">
        <v>45383</v>
      </c>
      <c r="B355" t="s">
        <v>7</v>
      </c>
      <c r="C355" t="s">
        <v>385</v>
      </c>
      <c r="D355" t="s">
        <v>391</v>
      </c>
      <c r="E355">
        <v>35054187.850000001</v>
      </c>
      <c r="F355">
        <v>34761452.950000003</v>
      </c>
      <c r="G355">
        <v>3005781.02</v>
      </c>
    </row>
    <row r="356" spans="1:7" x14ac:dyDescent="0.25">
      <c r="A356" s="1">
        <v>45474</v>
      </c>
      <c r="B356" t="s">
        <v>7</v>
      </c>
      <c r="C356" t="s">
        <v>385</v>
      </c>
      <c r="D356" t="s">
        <v>392</v>
      </c>
      <c r="E356">
        <v>38446574.210000001</v>
      </c>
      <c r="F356">
        <v>51767003.060000002</v>
      </c>
      <c r="G356">
        <v>1472585.75</v>
      </c>
    </row>
    <row r="357" spans="1:7" x14ac:dyDescent="0.25">
      <c r="A357" s="1">
        <v>45323</v>
      </c>
      <c r="B357" t="s">
        <v>7</v>
      </c>
      <c r="C357" t="s">
        <v>385</v>
      </c>
      <c r="D357" t="s">
        <v>393</v>
      </c>
      <c r="E357">
        <v>32532011.300000001</v>
      </c>
      <c r="F357">
        <v>28610737.010000002</v>
      </c>
      <c r="G357">
        <v>10639808.550000001</v>
      </c>
    </row>
    <row r="358" spans="1:7" x14ac:dyDescent="0.25">
      <c r="A358" s="1">
        <v>45505</v>
      </c>
      <c r="B358" t="s">
        <v>7</v>
      </c>
      <c r="C358" t="s">
        <v>385</v>
      </c>
      <c r="D358" t="s">
        <v>394</v>
      </c>
      <c r="E358">
        <v>38766581.789999999</v>
      </c>
      <c r="F358">
        <v>38803107.310000002</v>
      </c>
      <c r="G358">
        <v>1975332</v>
      </c>
    </row>
    <row r="359" spans="1:7" x14ac:dyDescent="0.25">
      <c r="A359" s="1">
        <v>45627</v>
      </c>
      <c r="B359" t="s">
        <v>7</v>
      </c>
      <c r="C359" t="s">
        <v>385</v>
      </c>
      <c r="D359" t="s">
        <v>395</v>
      </c>
      <c r="E359">
        <v>52999764.840000004</v>
      </c>
      <c r="F359">
        <v>48568782.329999998</v>
      </c>
      <c r="G359">
        <v>1269704.08</v>
      </c>
    </row>
    <row r="360" spans="1:7" x14ac:dyDescent="0.25">
      <c r="A360" s="1">
        <v>45444</v>
      </c>
      <c r="B360" t="s">
        <v>7</v>
      </c>
      <c r="C360" t="s">
        <v>385</v>
      </c>
      <c r="D360" t="s">
        <v>396</v>
      </c>
      <c r="E360">
        <v>45417717.539999999</v>
      </c>
      <c r="F360">
        <v>37943848.57</v>
      </c>
      <c r="G360">
        <v>1434854.78</v>
      </c>
    </row>
    <row r="361" spans="1:7" x14ac:dyDescent="0.25">
      <c r="A361" s="1">
        <v>45597</v>
      </c>
      <c r="B361" t="s">
        <v>7</v>
      </c>
      <c r="C361" t="s">
        <v>385</v>
      </c>
      <c r="D361" t="s">
        <v>397</v>
      </c>
      <c r="E361">
        <v>55994471.869999997</v>
      </c>
      <c r="F361">
        <v>45874248.219999999</v>
      </c>
      <c r="G361">
        <v>502637.43</v>
      </c>
    </row>
    <row r="362" spans="1:7" x14ac:dyDescent="0.25">
      <c r="A362" s="1">
        <v>45352</v>
      </c>
      <c r="B362" t="s">
        <v>7</v>
      </c>
      <c r="C362" t="s">
        <v>398</v>
      </c>
      <c r="D362" t="s">
        <v>399</v>
      </c>
      <c r="E362">
        <v>55880929.75</v>
      </c>
      <c r="F362">
        <v>48257268.759999998</v>
      </c>
      <c r="G362">
        <v>7494813.7199999997</v>
      </c>
    </row>
    <row r="363" spans="1:7" x14ac:dyDescent="0.25">
      <c r="A363" s="1">
        <v>45323</v>
      </c>
      <c r="B363" t="s">
        <v>7</v>
      </c>
      <c r="C363" t="s">
        <v>398</v>
      </c>
      <c r="D363" t="s">
        <v>400</v>
      </c>
      <c r="E363">
        <v>52354295.299999997</v>
      </c>
      <c r="F363">
        <v>57304604.810000002</v>
      </c>
      <c r="G363">
        <v>4910931.18</v>
      </c>
    </row>
    <row r="364" spans="1:7" x14ac:dyDescent="0.25">
      <c r="A364" s="1">
        <v>45413</v>
      </c>
      <c r="B364" t="s">
        <v>7</v>
      </c>
      <c r="C364" t="s">
        <v>398</v>
      </c>
      <c r="D364" t="s">
        <v>401</v>
      </c>
      <c r="E364">
        <v>72689007.609999999</v>
      </c>
      <c r="F364">
        <v>59772675.219999999</v>
      </c>
      <c r="G364">
        <v>9633135.1099999994</v>
      </c>
    </row>
    <row r="365" spans="1:7" x14ac:dyDescent="0.25">
      <c r="A365" s="1">
        <v>45444</v>
      </c>
      <c r="B365" t="s">
        <v>7</v>
      </c>
      <c r="C365" t="s">
        <v>398</v>
      </c>
      <c r="D365" t="s">
        <v>402</v>
      </c>
      <c r="E365">
        <v>72143387.810000002</v>
      </c>
      <c r="F365">
        <v>69269286.189999998</v>
      </c>
      <c r="G365">
        <v>3172012.45</v>
      </c>
    </row>
    <row r="366" spans="1:7" x14ac:dyDescent="0.25">
      <c r="A366" s="1">
        <v>45383</v>
      </c>
      <c r="B366" t="s">
        <v>7</v>
      </c>
      <c r="C366" t="s">
        <v>398</v>
      </c>
      <c r="D366" t="s">
        <v>403</v>
      </c>
      <c r="E366">
        <v>56454301.579999998</v>
      </c>
      <c r="F366">
        <v>55087434.259999998</v>
      </c>
      <c r="G366">
        <v>3776231.99</v>
      </c>
    </row>
    <row r="367" spans="1:7" x14ac:dyDescent="0.25">
      <c r="A367" s="1">
        <v>45536</v>
      </c>
      <c r="B367" t="s">
        <v>7</v>
      </c>
      <c r="C367" t="s">
        <v>398</v>
      </c>
      <c r="D367" t="s">
        <v>404</v>
      </c>
      <c r="E367">
        <v>61926850.560000002</v>
      </c>
      <c r="F367">
        <v>61798622.130000003</v>
      </c>
      <c r="G367">
        <v>793377.73</v>
      </c>
    </row>
    <row r="368" spans="1:7" x14ac:dyDescent="0.25">
      <c r="A368" s="1">
        <v>45566</v>
      </c>
      <c r="B368" t="s">
        <v>7</v>
      </c>
      <c r="C368" t="s">
        <v>398</v>
      </c>
      <c r="D368" t="s">
        <v>405</v>
      </c>
      <c r="E368">
        <v>62386069.659999996</v>
      </c>
      <c r="F368">
        <v>62530697.310000002</v>
      </c>
      <c r="G368">
        <v>1133591.27</v>
      </c>
    </row>
    <row r="369" spans="1:7" x14ac:dyDescent="0.25">
      <c r="A369" s="1">
        <v>45627</v>
      </c>
      <c r="B369" t="s">
        <v>7</v>
      </c>
      <c r="C369" t="s">
        <v>398</v>
      </c>
      <c r="D369" t="s">
        <v>406</v>
      </c>
      <c r="E369">
        <v>94661493.890000001</v>
      </c>
      <c r="F369">
        <v>87614435.989999995</v>
      </c>
      <c r="G369">
        <v>3452855.21</v>
      </c>
    </row>
    <row r="370" spans="1:7" x14ac:dyDescent="0.25">
      <c r="A370" s="1">
        <v>45474</v>
      </c>
      <c r="B370" t="s">
        <v>7</v>
      </c>
      <c r="C370" t="s">
        <v>398</v>
      </c>
      <c r="D370" t="s">
        <v>407</v>
      </c>
      <c r="E370">
        <v>59856132.609999999</v>
      </c>
      <c r="F370">
        <v>72755080.189999998</v>
      </c>
      <c r="G370">
        <v>5040078.45</v>
      </c>
    </row>
    <row r="371" spans="1:7" x14ac:dyDescent="0.25">
      <c r="A371" s="1">
        <v>45505</v>
      </c>
      <c r="B371" t="s">
        <v>7</v>
      </c>
      <c r="C371" t="s">
        <v>398</v>
      </c>
      <c r="D371" t="s">
        <v>408</v>
      </c>
      <c r="E371">
        <v>63372704.829999998</v>
      </c>
      <c r="F371">
        <v>62117525.32</v>
      </c>
      <c r="G371">
        <v>6722651.1399999997</v>
      </c>
    </row>
    <row r="372" spans="1:7" x14ac:dyDescent="0.25">
      <c r="A372" s="1">
        <v>45597</v>
      </c>
      <c r="B372" t="s">
        <v>7</v>
      </c>
      <c r="C372" t="s">
        <v>398</v>
      </c>
      <c r="D372" t="s">
        <v>409</v>
      </c>
      <c r="E372">
        <v>91915387.469999999</v>
      </c>
      <c r="F372">
        <v>72502822.620000005</v>
      </c>
      <c r="G372">
        <v>927736.52</v>
      </c>
    </row>
    <row r="373" spans="1:7" x14ac:dyDescent="0.25">
      <c r="A373" s="1">
        <v>45292</v>
      </c>
      <c r="B373" t="s">
        <v>7</v>
      </c>
      <c r="C373" t="s">
        <v>398</v>
      </c>
      <c r="D373" t="s">
        <v>410</v>
      </c>
      <c r="E373">
        <v>50551207.789999999</v>
      </c>
      <c r="F373">
        <v>10721504.369999999</v>
      </c>
      <c r="G373">
        <v>59229656.030000001</v>
      </c>
    </row>
    <row r="374" spans="1:7" x14ac:dyDescent="0.25">
      <c r="A374" s="1">
        <v>45566</v>
      </c>
      <c r="B374" t="s">
        <v>7</v>
      </c>
      <c r="C374" t="s">
        <v>411</v>
      </c>
      <c r="D374" t="s">
        <v>412</v>
      </c>
      <c r="E374">
        <v>59353464.100000001</v>
      </c>
      <c r="F374">
        <v>58976747.810000002</v>
      </c>
      <c r="G374">
        <v>1730285.93</v>
      </c>
    </row>
    <row r="375" spans="1:7" x14ac:dyDescent="0.25">
      <c r="A375" s="1">
        <v>45352</v>
      </c>
      <c r="B375" t="s">
        <v>7</v>
      </c>
      <c r="C375" t="s">
        <v>411</v>
      </c>
      <c r="D375" t="s">
        <v>413</v>
      </c>
      <c r="E375">
        <v>51027708.25</v>
      </c>
      <c r="F375">
        <v>50227052.539999999</v>
      </c>
      <c r="G375">
        <v>5968961.29</v>
      </c>
    </row>
    <row r="376" spans="1:7" x14ac:dyDescent="0.25">
      <c r="A376" s="1">
        <v>45383</v>
      </c>
      <c r="B376" t="s">
        <v>7</v>
      </c>
      <c r="C376" t="s">
        <v>411</v>
      </c>
      <c r="D376" t="s">
        <v>414</v>
      </c>
      <c r="E376">
        <v>52761125.030000001</v>
      </c>
      <c r="F376">
        <v>51942066.329999998</v>
      </c>
      <c r="G376">
        <v>4101214.29</v>
      </c>
    </row>
    <row r="377" spans="1:7" x14ac:dyDescent="0.25">
      <c r="A377" s="1">
        <v>45444</v>
      </c>
      <c r="B377" t="s">
        <v>7</v>
      </c>
      <c r="C377" t="s">
        <v>411</v>
      </c>
      <c r="D377" t="s">
        <v>415</v>
      </c>
      <c r="E377">
        <v>64160311.460000001</v>
      </c>
      <c r="F377">
        <v>56015457.140000001</v>
      </c>
      <c r="G377">
        <v>1839706.72</v>
      </c>
    </row>
    <row r="378" spans="1:7" x14ac:dyDescent="0.25">
      <c r="A378" s="1">
        <v>45323</v>
      </c>
      <c r="B378" t="s">
        <v>7</v>
      </c>
      <c r="C378" t="s">
        <v>411</v>
      </c>
      <c r="D378" t="s">
        <v>416</v>
      </c>
      <c r="E378">
        <v>49204122.159999996</v>
      </c>
      <c r="F378">
        <v>43320396.259999998</v>
      </c>
      <c r="G378">
        <v>12331857.960000001</v>
      </c>
    </row>
    <row r="379" spans="1:7" x14ac:dyDescent="0.25">
      <c r="A379" s="1">
        <v>45597</v>
      </c>
      <c r="B379" t="s">
        <v>7</v>
      </c>
      <c r="C379" t="s">
        <v>411</v>
      </c>
      <c r="D379" t="s">
        <v>417</v>
      </c>
      <c r="E379">
        <v>88681276.459999993</v>
      </c>
      <c r="F379">
        <v>69986939</v>
      </c>
      <c r="G379">
        <v>1373252.4</v>
      </c>
    </row>
    <row r="380" spans="1:7" x14ac:dyDescent="0.25">
      <c r="A380" s="1">
        <v>45474</v>
      </c>
      <c r="B380" t="s">
        <v>7</v>
      </c>
      <c r="C380" t="s">
        <v>411</v>
      </c>
      <c r="D380" t="s">
        <v>418</v>
      </c>
      <c r="E380">
        <v>55894128.340000004</v>
      </c>
      <c r="F380">
        <v>65128376.079999998</v>
      </c>
      <c r="G380">
        <v>1439973.94</v>
      </c>
    </row>
    <row r="381" spans="1:7" x14ac:dyDescent="0.25">
      <c r="A381" s="1">
        <v>45413</v>
      </c>
      <c r="B381" t="s">
        <v>7</v>
      </c>
      <c r="C381" t="s">
        <v>411</v>
      </c>
      <c r="D381" t="s">
        <v>419</v>
      </c>
      <c r="E381">
        <v>57255861.729999997</v>
      </c>
      <c r="F381">
        <v>54270655.630000003</v>
      </c>
      <c r="G381">
        <v>2593647.61</v>
      </c>
    </row>
    <row r="382" spans="1:7" x14ac:dyDescent="0.25">
      <c r="A382" s="1">
        <v>45627</v>
      </c>
      <c r="B382" t="s">
        <v>7</v>
      </c>
      <c r="C382" t="s">
        <v>411</v>
      </c>
      <c r="D382" t="s">
        <v>420</v>
      </c>
      <c r="E382">
        <v>83427259.099999994</v>
      </c>
      <c r="F382">
        <v>76356988.900000006</v>
      </c>
      <c r="G382">
        <v>2287228.89</v>
      </c>
    </row>
    <row r="383" spans="1:7" x14ac:dyDescent="0.25">
      <c r="A383" s="1">
        <v>45505</v>
      </c>
      <c r="B383" t="s">
        <v>7</v>
      </c>
      <c r="C383" t="s">
        <v>411</v>
      </c>
      <c r="D383" t="s">
        <v>421</v>
      </c>
      <c r="E383">
        <v>58770121.090000004</v>
      </c>
      <c r="F383">
        <v>57667195.340000004</v>
      </c>
      <c r="G383">
        <v>1637479.34</v>
      </c>
    </row>
    <row r="384" spans="1:7" x14ac:dyDescent="0.25">
      <c r="A384" s="1">
        <v>45536</v>
      </c>
      <c r="B384" t="s">
        <v>7</v>
      </c>
      <c r="C384" t="s">
        <v>411</v>
      </c>
      <c r="D384" t="s">
        <v>422</v>
      </c>
      <c r="E384">
        <v>58372483.359999999</v>
      </c>
      <c r="F384">
        <v>57134158.060000002</v>
      </c>
      <c r="G384">
        <v>2342318.38</v>
      </c>
    </row>
    <row r="385" spans="1:7" x14ac:dyDescent="0.25">
      <c r="A385" s="1">
        <v>45292</v>
      </c>
      <c r="B385" t="s">
        <v>7</v>
      </c>
      <c r="C385" t="s">
        <v>411</v>
      </c>
      <c r="D385" t="s">
        <v>423</v>
      </c>
      <c r="E385">
        <v>49091699.380000003</v>
      </c>
      <c r="F385">
        <v>10141524.01</v>
      </c>
      <c r="G385">
        <v>68812503.5</v>
      </c>
    </row>
    <row r="386" spans="1:7" x14ac:dyDescent="0.25">
      <c r="A386" s="1">
        <v>45383</v>
      </c>
      <c r="B386" t="s">
        <v>7</v>
      </c>
      <c r="C386" t="s">
        <v>424</v>
      </c>
      <c r="D386" t="s">
        <v>425</v>
      </c>
      <c r="E386">
        <v>35503099.859999999</v>
      </c>
      <c r="F386">
        <v>33358681.57</v>
      </c>
      <c r="G386">
        <v>3280290.16</v>
      </c>
    </row>
    <row r="387" spans="1:7" x14ac:dyDescent="0.25">
      <c r="A387" s="1">
        <v>45566</v>
      </c>
      <c r="B387" t="s">
        <v>7</v>
      </c>
      <c r="C387" t="s">
        <v>424</v>
      </c>
      <c r="D387" t="s">
        <v>426</v>
      </c>
      <c r="E387">
        <v>39437068.479999997</v>
      </c>
      <c r="F387">
        <v>38059585.07</v>
      </c>
      <c r="G387">
        <v>580164.23</v>
      </c>
    </row>
    <row r="388" spans="1:7" x14ac:dyDescent="0.25">
      <c r="A388" s="1">
        <v>45444</v>
      </c>
      <c r="B388" t="s">
        <v>7</v>
      </c>
      <c r="C388" t="s">
        <v>424</v>
      </c>
      <c r="D388" t="s">
        <v>427</v>
      </c>
      <c r="E388">
        <v>40115486.799999997</v>
      </c>
      <c r="F388">
        <v>37612884.68</v>
      </c>
      <c r="G388">
        <v>1991293.95</v>
      </c>
    </row>
    <row r="389" spans="1:7" x14ac:dyDescent="0.25">
      <c r="A389" s="1">
        <v>45292</v>
      </c>
      <c r="B389" t="s">
        <v>7</v>
      </c>
      <c r="C389" t="s">
        <v>424</v>
      </c>
      <c r="D389" t="s">
        <v>428</v>
      </c>
      <c r="E389">
        <v>33243394.559999999</v>
      </c>
      <c r="F389">
        <v>9736718.9499999993</v>
      </c>
      <c r="G389">
        <v>42733230.119999997</v>
      </c>
    </row>
    <row r="390" spans="1:7" x14ac:dyDescent="0.25">
      <c r="A390" s="1">
        <v>45597</v>
      </c>
      <c r="B390" t="s">
        <v>7</v>
      </c>
      <c r="C390" t="s">
        <v>424</v>
      </c>
      <c r="D390" t="s">
        <v>429</v>
      </c>
      <c r="E390">
        <v>55767612.859999999</v>
      </c>
      <c r="F390">
        <v>45910942.25</v>
      </c>
      <c r="G390">
        <v>914896.25</v>
      </c>
    </row>
    <row r="391" spans="1:7" x14ac:dyDescent="0.25">
      <c r="A391" s="1">
        <v>45323</v>
      </c>
      <c r="B391" t="s">
        <v>7</v>
      </c>
      <c r="C391" t="s">
        <v>424</v>
      </c>
      <c r="D391" t="s">
        <v>430</v>
      </c>
      <c r="E391">
        <v>32921301.649999999</v>
      </c>
      <c r="F391">
        <v>32448502.120000001</v>
      </c>
      <c r="G391">
        <v>4579144.04</v>
      </c>
    </row>
    <row r="392" spans="1:7" x14ac:dyDescent="0.25">
      <c r="A392" s="1">
        <v>45627</v>
      </c>
      <c r="B392" t="s">
        <v>7</v>
      </c>
      <c r="C392" t="s">
        <v>424</v>
      </c>
      <c r="D392" t="s">
        <v>431</v>
      </c>
      <c r="E392">
        <v>57861243.640000001</v>
      </c>
      <c r="F392">
        <v>56659048.149999999</v>
      </c>
      <c r="G392">
        <v>1534321.47</v>
      </c>
    </row>
    <row r="393" spans="1:7" x14ac:dyDescent="0.25">
      <c r="A393" s="1">
        <v>45352</v>
      </c>
      <c r="B393" t="s">
        <v>7</v>
      </c>
      <c r="C393" t="s">
        <v>424</v>
      </c>
      <c r="D393" t="s">
        <v>432</v>
      </c>
      <c r="E393">
        <v>34889496.649999999</v>
      </c>
      <c r="F393">
        <v>34048335.090000004</v>
      </c>
      <c r="G393">
        <v>6814590.2599999998</v>
      </c>
    </row>
    <row r="394" spans="1:7" x14ac:dyDescent="0.25">
      <c r="A394" s="1">
        <v>45413</v>
      </c>
      <c r="B394" t="s">
        <v>7</v>
      </c>
      <c r="C394" t="s">
        <v>424</v>
      </c>
      <c r="D394" t="s">
        <v>433</v>
      </c>
      <c r="E394">
        <v>38249822.310000002</v>
      </c>
      <c r="F394">
        <v>36499517.920000002</v>
      </c>
      <c r="G394">
        <v>5375776.1200000001</v>
      </c>
    </row>
    <row r="395" spans="1:7" x14ac:dyDescent="0.25">
      <c r="A395" s="1">
        <v>45505</v>
      </c>
      <c r="B395" t="s">
        <v>7</v>
      </c>
      <c r="C395" t="s">
        <v>424</v>
      </c>
      <c r="D395" t="s">
        <v>434</v>
      </c>
      <c r="E395">
        <v>38393615.869999997</v>
      </c>
      <c r="F395">
        <v>44031829.200000003</v>
      </c>
      <c r="G395">
        <v>979582.96</v>
      </c>
    </row>
    <row r="396" spans="1:7" x14ac:dyDescent="0.25">
      <c r="A396" s="1">
        <v>45536</v>
      </c>
      <c r="B396" t="s">
        <v>7</v>
      </c>
      <c r="C396" t="s">
        <v>424</v>
      </c>
      <c r="D396" t="s">
        <v>435</v>
      </c>
      <c r="E396">
        <v>38555374.18</v>
      </c>
      <c r="F396">
        <v>38331483.869999997</v>
      </c>
      <c r="G396">
        <v>760062.23</v>
      </c>
    </row>
    <row r="397" spans="1:7" x14ac:dyDescent="0.25">
      <c r="A397" s="1">
        <v>45474</v>
      </c>
      <c r="B397" t="s">
        <v>7</v>
      </c>
      <c r="C397" t="s">
        <v>424</v>
      </c>
      <c r="D397" t="s">
        <v>436</v>
      </c>
      <c r="E397">
        <v>36963438.770000003</v>
      </c>
      <c r="F397">
        <v>34420374.579999998</v>
      </c>
      <c r="G397">
        <v>1798996.92</v>
      </c>
    </row>
    <row r="398" spans="1:7" x14ac:dyDescent="0.25">
      <c r="A398" s="1">
        <v>45597</v>
      </c>
      <c r="B398" t="s">
        <v>7</v>
      </c>
      <c r="C398" t="s">
        <v>437</v>
      </c>
      <c r="D398" t="s">
        <v>438</v>
      </c>
      <c r="E398">
        <v>37853606.909999996</v>
      </c>
      <c r="F398">
        <v>33226100.82</v>
      </c>
      <c r="G398">
        <v>435095.51</v>
      </c>
    </row>
    <row r="399" spans="1:7" x14ac:dyDescent="0.25">
      <c r="A399" s="1">
        <v>45323</v>
      </c>
      <c r="B399" t="s">
        <v>7</v>
      </c>
      <c r="C399" t="s">
        <v>437</v>
      </c>
      <c r="D399" t="s">
        <v>439</v>
      </c>
      <c r="E399">
        <v>21690790.129999999</v>
      </c>
      <c r="F399">
        <v>21581623.859999999</v>
      </c>
      <c r="G399">
        <v>6079822.96</v>
      </c>
    </row>
    <row r="400" spans="1:7" x14ac:dyDescent="0.25">
      <c r="A400" s="1">
        <v>45292</v>
      </c>
      <c r="B400" t="s">
        <v>7</v>
      </c>
      <c r="C400" t="s">
        <v>437</v>
      </c>
      <c r="D400" t="s">
        <v>440</v>
      </c>
      <c r="E400">
        <v>20754807.140000001</v>
      </c>
      <c r="F400">
        <v>7117056.3600000003</v>
      </c>
      <c r="G400">
        <v>22424398.100000001</v>
      </c>
    </row>
    <row r="401" spans="1:7" x14ac:dyDescent="0.25">
      <c r="A401" s="1">
        <v>45627</v>
      </c>
      <c r="B401" t="s">
        <v>7</v>
      </c>
      <c r="C401" t="s">
        <v>437</v>
      </c>
      <c r="D401" t="s">
        <v>441</v>
      </c>
      <c r="E401">
        <v>33113766.489999998</v>
      </c>
      <c r="F401">
        <v>36986719.460000001</v>
      </c>
      <c r="G401">
        <v>4111031.22</v>
      </c>
    </row>
    <row r="402" spans="1:7" x14ac:dyDescent="0.25">
      <c r="A402" s="1">
        <v>45413</v>
      </c>
      <c r="B402" t="s">
        <v>7</v>
      </c>
      <c r="C402" t="s">
        <v>437</v>
      </c>
      <c r="D402" t="s">
        <v>442</v>
      </c>
      <c r="E402">
        <v>25294640.5</v>
      </c>
      <c r="F402">
        <v>24478102.07</v>
      </c>
      <c r="G402">
        <v>2078849.51</v>
      </c>
    </row>
    <row r="403" spans="1:7" x14ac:dyDescent="0.25">
      <c r="A403" s="1">
        <v>45352</v>
      </c>
      <c r="B403" t="s">
        <v>7</v>
      </c>
      <c r="C403" t="s">
        <v>437</v>
      </c>
      <c r="D403" t="s">
        <v>443</v>
      </c>
      <c r="E403">
        <v>22462794.510000002</v>
      </c>
      <c r="F403">
        <v>22479485.329999998</v>
      </c>
      <c r="G403">
        <v>4484212.4000000004</v>
      </c>
    </row>
    <row r="404" spans="1:7" x14ac:dyDescent="0.25">
      <c r="A404" s="1">
        <v>45383</v>
      </c>
      <c r="B404" t="s">
        <v>7</v>
      </c>
      <c r="C404" t="s">
        <v>437</v>
      </c>
      <c r="D404" t="s">
        <v>444</v>
      </c>
      <c r="E404">
        <v>23897232.59</v>
      </c>
      <c r="F404">
        <v>22681022.48</v>
      </c>
      <c r="G404">
        <v>3014218.21</v>
      </c>
    </row>
    <row r="405" spans="1:7" x14ac:dyDescent="0.25">
      <c r="A405" s="1">
        <v>45505</v>
      </c>
      <c r="B405" t="s">
        <v>7</v>
      </c>
      <c r="C405" t="s">
        <v>437</v>
      </c>
      <c r="D405" t="s">
        <v>445</v>
      </c>
      <c r="E405">
        <v>25543638.469999999</v>
      </c>
      <c r="F405">
        <v>25498526.030000001</v>
      </c>
      <c r="G405">
        <v>1547093.14</v>
      </c>
    </row>
    <row r="406" spans="1:7" x14ac:dyDescent="0.25">
      <c r="A406" s="1">
        <v>45536</v>
      </c>
      <c r="B406" t="s">
        <v>7</v>
      </c>
      <c r="C406" t="s">
        <v>437</v>
      </c>
      <c r="D406" t="s">
        <v>446</v>
      </c>
      <c r="E406">
        <v>25346352.760000002</v>
      </c>
      <c r="F406">
        <v>25597682.260000002</v>
      </c>
      <c r="G406">
        <v>798390.99</v>
      </c>
    </row>
    <row r="407" spans="1:7" x14ac:dyDescent="0.25">
      <c r="A407" s="1">
        <v>45444</v>
      </c>
      <c r="B407" t="s">
        <v>7</v>
      </c>
      <c r="C407" t="s">
        <v>437</v>
      </c>
      <c r="D407" t="s">
        <v>447</v>
      </c>
      <c r="E407">
        <v>31522634.52</v>
      </c>
      <c r="F407">
        <v>26584255.629999999</v>
      </c>
      <c r="G407">
        <v>1848586.26</v>
      </c>
    </row>
    <row r="408" spans="1:7" x14ac:dyDescent="0.25">
      <c r="A408" s="1">
        <v>45566</v>
      </c>
      <c r="B408" t="s">
        <v>7</v>
      </c>
      <c r="C408" t="s">
        <v>437</v>
      </c>
      <c r="D408" t="s">
        <v>448</v>
      </c>
      <c r="E408">
        <v>26152700.600000001</v>
      </c>
      <c r="F408">
        <v>26784727.199999999</v>
      </c>
      <c r="G408">
        <v>1041135.57</v>
      </c>
    </row>
    <row r="409" spans="1:7" x14ac:dyDescent="0.25">
      <c r="A409" s="1">
        <v>45474</v>
      </c>
      <c r="B409" t="s">
        <v>7</v>
      </c>
      <c r="C409" t="s">
        <v>437</v>
      </c>
      <c r="D409" t="s">
        <v>449</v>
      </c>
      <c r="E409">
        <v>26913639.539999999</v>
      </c>
      <c r="F409">
        <v>31246738.329999998</v>
      </c>
      <c r="G409">
        <v>6402447.0499999998</v>
      </c>
    </row>
    <row r="410" spans="1:7" x14ac:dyDescent="0.25">
      <c r="A410" s="1">
        <v>45323</v>
      </c>
      <c r="B410" t="s">
        <v>7</v>
      </c>
      <c r="C410" t="s">
        <v>450</v>
      </c>
      <c r="D410" t="s">
        <v>451</v>
      </c>
      <c r="E410">
        <v>40256592.340000004</v>
      </c>
      <c r="F410">
        <v>35225166</v>
      </c>
      <c r="G410">
        <v>8932239.2400000002</v>
      </c>
    </row>
    <row r="411" spans="1:7" x14ac:dyDescent="0.25">
      <c r="A411" s="1">
        <v>45566</v>
      </c>
      <c r="B411" t="s">
        <v>7</v>
      </c>
      <c r="C411" t="s">
        <v>450</v>
      </c>
      <c r="D411" t="s">
        <v>452</v>
      </c>
      <c r="E411">
        <v>47585035.460000001</v>
      </c>
      <c r="F411">
        <v>53250168.590000004</v>
      </c>
      <c r="G411">
        <v>1162291.1000000001</v>
      </c>
    </row>
    <row r="412" spans="1:7" x14ac:dyDescent="0.25">
      <c r="A412" s="1">
        <v>45352</v>
      </c>
      <c r="B412" t="s">
        <v>7</v>
      </c>
      <c r="C412" t="s">
        <v>450</v>
      </c>
      <c r="D412" t="s">
        <v>453</v>
      </c>
      <c r="E412">
        <v>42541972.270000003</v>
      </c>
      <c r="F412">
        <v>40594076.810000002</v>
      </c>
      <c r="G412">
        <v>7371516.6200000001</v>
      </c>
    </row>
    <row r="413" spans="1:7" x14ac:dyDescent="0.25">
      <c r="A413" s="1">
        <v>45474</v>
      </c>
      <c r="B413" t="s">
        <v>7</v>
      </c>
      <c r="C413" t="s">
        <v>450</v>
      </c>
      <c r="D413" t="s">
        <v>454</v>
      </c>
      <c r="E413">
        <v>46560096.670000002</v>
      </c>
      <c r="F413">
        <v>56840924.090000004</v>
      </c>
      <c r="G413">
        <v>1856916.08</v>
      </c>
    </row>
    <row r="414" spans="1:7" x14ac:dyDescent="0.25">
      <c r="A414" s="1">
        <v>45383</v>
      </c>
      <c r="B414" t="s">
        <v>7</v>
      </c>
      <c r="C414" t="s">
        <v>450</v>
      </c>
      <c r="D414" t="s">
        <v>455</v>
      </c>
      <c r="E414">
        <v>42658848.460000001</v>
      </c>
      <c r="F414">
        <v>41863798.619999997</v>
      </c>
      <c r="G414">
        <v>2795664.86</v>
      </c>
    </row>
    <row r="415" spans="1:7" x14ac:dyDescent="0.25">
      <c r="A415" s="1">
        <v>45597</v>
      </c>
      <c r="B415" t="s">
        <v>7</v>
      </c>
      <c r="C415" t="s">
        <v>450</v>
      </c>
      <c r="D415" t="s">
        <v>456</v>
      </c>
      <c r="E415">
        <v>73393142.239999995</v>
      </c>
      <c r="F415">
        <v>53561099.270000003</v>
      </c>
      <c r="G415">
        <v>1013922.61</v>
      </c>
    </row>
    <row r="416" spans="1:7" x14ac:dyDescent="0.25">
      <c r="A416" s="1">
        <v>45627</v>
      </c>
      <c r="B416" t="s">
        <v>7</v>
      </c>
      <c r="C416" t="s">
        <v>450</v>
      </c>
      <c r="D416" t="s">
        <v>457</v>
      </c>
      <c r="E416">
        <v>68656066.310000002</v>
      </c>
      <c r="F416">
        <v>69667187.189999998</v>
      </c>
      <c r="G416">
        <v>1262673.27</v>
      </c>
    </row>
    <row r="417" spans="1:7" x14ac:dyDescent="0.25">
      <c r="A417" s="1">
        <v>45413</v>
      </c>
      <c r="B417" t="s">
        <v>7</v>
      </c>
      <c r="C417" t="s">
        <v>450</v>
      </c>
      <c r="D417" t="s">
        <v>458</v>
      </c>
      <c r="E417">
        <v>47600987.240000002</v>
      </c>
      <c r="F417">
        <v>50402182.25</v>
      </c>
      <c r="G417">
        <v>3667034.83</v>
      </c>
    </row>
    <row r="418" spans="1:7" x14ac:dyDescent="0.25">
      <c r="A418" s="1">
        <v>45444</v>
      </c>
      <c r="B418" t="s">
        <v>7</v>
      </c>
      <c r="C418" t="s">
        <v>450</v>
      </c>
      <c r="D418" t="s">
        <v>459</v>
      </c>
      <c r="E418">
        <v>54778911.939999998</v>
      </c>
      <c r="F418">
        <v>44124072.759999998</v>
      </c>
      <c r="G418">
        <v>2370151.81</v>
      </c>
    </row>
    <row r="419" spans="1:7" x14ac:dyDescent="0.25">
      <c r="A419" s="1">
        <v>45536</v>
      </c>
      <c r="B419" t="s">
        <v>7</v>
      </c>
      <c r="C419" t="s">
        <v>450</v>
      </c>
      <c r="D419" t="s">
        <v>460</v>
      </c>
      <c r="E419">
        <v>48408907.170000002</v>
      </c>
      <c r="F419">
        <v>47086839.509999998</v>
      </c>
      <c r="G419">
        <v>2240420.7999999998</v>
      </c>
    </row>
    <row r="420" spans="1:7" x14ac:dyDescent="0.25">
      <c r="A420" s="1">
        <v>45505</v>
      </c>
      <c r="B420" t="s">
        <v>7</v>
      </c>
      <c r="C420" t="s">
        <v>450</v>
      </c>
      <c r="D420" t="s">
        <v>461</v>
      </c>
      <c r="E420">
        <v>51191206.469999999</v>
      </c>
      <c r="F420">
        <v>46721426.990000002</v>
      </c>
      <c r="G420">
        <v>1737258.8</v>
      </c>
    </row>
    <row r="421" spans="1:7" x14ac:dyDescent="0.25">
      <c r="A421" s="1">
        <v>45292</v>
      </c>
      <c r="B421" t="s">
        <v>7</v>
      </c>
      <c r="C421" t="s">
        <v>450</v>
      </c>
      <c r="D421" t="s">
        <v>462</v>
      </c>
      <c r="E421">
        <v>40154150.369999997</v>
      </c>
      <c r="F421">
        <v>8604470.5399999991</v>
      </c>
      <c r="G421">
        <v>58451533.450000003</v>
      </c>
    </row>
    <row r="422" spans="1:7" x14ac:dyDescent="0.25">
      <c r="A422" s="1">
        <v>45323</v>
      </c>
      <c r="B422" t="s">
        <v>7</v>
      </c>
      <c r="C422" t="s">
        <v>463</v>
      </c>
      <c r="D422" t="s">
        <v>464</v>
      </c>
      <c r="E422">
        <v>36667354.289999999</v>
      </c>
      <c r="F422">
        <v>36855755.969999999</v>
      </c>
      <c r="G422">
        <v>4986975.67</v>
      </c>
    </row>
    <row r="423" spans="1:7" x14ac:dyDescent="0.25">
      <c r="A423" s="1">
        <v>45444</v>
      </c>
      <c r="B423" t="s">
        <v>7</v>
      </c>
      <c r="C423" t="s">
        <v>463</v>
      </c>
      <c r="D423" t="s">
        <v>465</v>
      </c>
      <c r="E423">
        <v>49049688.640000001</v>
      </c>
      <c r="F423">
        <v>42795888.039999999</v>
      </c>
      <c r="G423">
        <v>2049621.26</v>
      </c>
    </row>
    <row r="424" spans="1:7" x14ac:dyDescent="0.25">
      <c r="A424" s="1">
        <v>45383</v>
      </c>
      <c r="B424" t="s">
        <v>7</v>
      </c>
      <c r="C424" t="s">
        <v>463</v>
      </c>
      <c r="D424" t="s">
        <v>466</v>
      </c>
      <c r="E424">
        <v>38985402.920000002</v>
      </c>
      <c r="F424">
        <v>38687217.109999999</v>
      </c>
      <c r="G424">
        <v>4270767.72</v>
      </c>
    </row>
    <row r="425" spans="1:7" x14ac:dyDescent="0.25">
      <c r="A425" s="1">
        <v>45413</v>
      </c>
      <c r="B425" t="s">
        <v>7</v>
      </c>
      <c r="C425" t="s">
        <v>463</v>
      </c>
      <c r="D425" t="s">
        <v>467</v>
      </c>
      <c r="E425">
        <v>42821524.700000003</v>
      </c>
      <c r="F425">
        <v>39190996.460000001</v>
      </c>
      <c r="G425">
        <v>3503554.32</v>
      </c>
    </row>
    <row r="426" spans="1:7" x14ac:dyDescent="0.25">
      <c r="A426" s="1">
        <v>45505</v>
      </c>
      <c r="B426" t="s">
        <v>7</v>
      </c>
      <c r="C426" t="s">
        <v>463</v>
      </c>
      <c r="D426" t="s">
        <v>468</v>
      </c>
      <c r="E426">
        <v>42476054.090000004</v>
      </c>
      <c r="F426">
        <v>41231376.350000001</v>
      </c>
      <c r="G426">
        <v>1665579.3</v>
      </c>
    </row>
    <row r="427" spans="1:7" x14ac:dyDescent="0.25">
      <c r="A427" s="1">
        <v>45474</v>
      </c>
      <c r="B427" t="s">
        <v>7</v>
      </c>
      <c r="C427" t="s">
        <v>463</v>
      </c>
      <c r="D427" t="s">
        <v>469</v>
      </c>
      <c r="E427">
        <v>41000427.740000002</v>
      </c>
      <c r="F427">
        <v>49194181.530000001</v>
      </c>
      <c r="G427">
        <v>2306094.5099999998</v>
      </c>
    </row>
    <row r="428" spans="1:7" x14ac:dyDescent="0.25">
      <c r="A428" s="1">
        <v>45627</v>
      </c>
      <c r="B428" t="s">
        <v>7</v>
      </c>
      <c r="C428" t="s">
        <v>463</v>
      </c>
      <c r="D428" t="s">
        <v>470</v>
      </c>
      <c r="E428">
        <v>55955661.640000001</v>
      </c>
      <c r="F428">
        <v>59165998.049999997</v>
      </c>
      <c r="G428">
        <v>1165553.53</v>
      </c>
    </row>
    <row r="429" spans="1:7" x14ac:dyDescent="0.25">
      <c r="A429" s="1">
        <v>45352</v>
      </c>
      <c r="B429" t="s">
        <v>7</v>
      </c>
      <c r="C429" t="s">
        <v>463</v>
      </c>
      <c r="D429" t="s">
        <v>471</v>
      </c>
      <c r="E429">
        <v>37316364.82</v>
      </c>
      <c r="F429">
        <v>37039731.399999999</v>
      </c>
      <c r="G429">
        <v>5033897.97</v>
      </c>
    </row>
    <row r="430" spans="1:7" x14ac:dyDescent="0.25">
      <c r="A430" s="1">
        <v>45536</v>
      </c>
      <c r="B430" t="s">
        <v>7</v>
      </c>
      <c r="C430" t="s">
        <v>463</v>
      </c>
      <c r="D430" t="s">
        <v>472</v>
      </c>
      <c r="E430">
        <v>42618932.57</v>
      </c>
      <c r="F430">
        <v>42908896.899999999</v>
      </c>
      <c r="G430">
        <v>1736035.09</v>
      </c>
    </row>
    <row r="431" spans="1:7" x14ac:dyDescent="0.25">
      <c r="A431" s="1">
        <v>45597</v>
      </c>
      <c r="B431" t="s">
        <v>7</v>
      </c>
      <c r="C431" t="s">
        <v>463</v>
      </c>
      <c r="D431" t="s">
        <v>473</v>
      </c>
      <c r="E431">
        <v>63844243.810000002</v>
      </c>
      <c r="F431">
        <v>49710198.93</v>
      </c>
      <c r="G431">
        <v>930048.33</v>
      </c>
    </row>
    <row r="432" spans="1:7" x14ac:dyDescent="0.25">
      <c r="A432" s="1">
        <v>45566</v>
      </c>
      <c r="B432" t="s">
        <v>7</v>
      </c>
      <c r="C432" t="s">
        <v>463</v>
      </c>
      <c r="D432" t="s">
        <v>474</v>
      </c>
      <c r="E432">
        <v>43237767.840000004</v>
      </c>
      <c r="F432">
        <v>43539982.130000003</v>
      </c>
      <c r="G432">
        <v>910812.2</v>
      </c>
    </row>
    <row r="433" spans="1:7" x14ac:dyDescent="0.25">
      <c r="A433" s="1">
        <v>45292</v>
      </c>
      <c r="B433" t="s">
        <v>7</v>
      </c>
      <c r="C433" t="s">
        <v>463</v>
      </c>
      <c r="D433" t="s">
        <v>475</v>
      </c>
      <c r="E433">
        <v>36325880.439999998</v>
      </c>
      <c r="F433">
        <v>7534535.4199999999</v>
      </c>
      <c r="G433">
        <v>45536325.850000001</v>
      </c>
    </row>
    <row r="434" spans="1:7" x14ac:dyDescent="0.25">
      <c r="A434" s="1">
        <v>45323</v>
      </c>
      <c r="B434" t="s">
        <v>7</v>
      </c>
      <c r="C434" t="s">
        <v>476</v>
      </c>
      <c r="D434" t="s">
        <v>477</v>
      </c>
      <c r="E434">
        <v>48260310.380000003</v>
      </c>
      <c r="F434">
        <v>48134966.130000003</v>
      </c>
      <c r="G434">
        <v>4518207.75</v>
      </c>
    </row>
    <row r="435" spans="1:7" x14ac:dyDescent="0.25">
      <c r="A435" s="1">
        <v>45474</v>
      </c>
      <c r="B435" t="s">
        <v>7</v>
      </c>
      <c r="C435" t="s">
        <v>476</v>
      </c>
      <c r="D435" t="s">
        <v>478</v>
      </c>
      <c r="E435">
        <v>53897330.32</v>
      </c>
      <c r="F435">
        <v>66198107.100000001</v>
      </c>
      <c r="G435">
        <v>1421244.03</v>
      </c>
    </row>
    <row r="436" spans="1:7" x14ac:dyDescent="0.25">
      <c r="A436" s="1">
        <v>45413</v>
      </c>
      <c r="B436" t="s">
        <v>7</v>
      </c>
      <c r="C436" t="s">
        <v>476</v>
      </c>
      <c r="D436" t="s">
        <v>479</v>
      </c>
      <c r="E436">
        <v>56078164.490000002</v>
      </c>
      <c r="F436">
        <v>52824245.329999998</v>
      </c>
      <c r="G436">
        <v>2163143.37</v>
      </c>
    </row>
    <row r="437" spans="1:7" x14ac:dyDescent="0.25">
      <c r="A437" s="1">
        <v>45292</v>
      </c>
      <c r="B437" t="s">
        <v>7</v>
      </c>
      <c r="C437" t="s">
        <v>476</v>
      </c>
      <c r="D437" t="s">
        <v>480</v>
      </c>
      <c r="E437">
        <v>47364131.369999997</v>
      </c>
      <c r="F437">
        <v>9345749.9000000004</v>
      </c>
      <c r="G437">
        <v>61869306.229999997</v>
      </c>
    </row>
    <row r="438" spans="1:7" x14ac:dyDescent="0.25">
      <c r="A438" s="1">
        <v>45566</v>
      </c>
      <c r="B438" t="s">
        <v>7</v>
      </c>
      <c r="C438" t="s">
        <v>476</v>
      </c>
      <c r="D438" t="s">
        <v>481</v>
      </c>
      <c r="E438">
        <v>54309238.380000003</v>
      </c>
      <c r="F438">
        <v>54917187.170000002</v>
      </c>
      <c r="G438">
        <v>984856.25</v>
      </c>
    </row>
    <row r="439" spans="1:7" x14ac:dyDescent="0.25">
      <c r="A439" s="1">
        <v>45597</v>
      </c>
      <c r="B439" t="s">
        <v>7</v>
      </c>
      <c r="C439" t="s">
        <v>476</v>
      </c>
      <c r="D439" t="s">
        <v>482</v>
      </c>
      <c r="E439">
        <v>79553479.659999996</v>
      </c>
      <c r="F439">
        <v>62936335.170000002</v>
      </c>
      <c r="G439">
        <v>1263818.52</v>
      </c>
    </row>
    <row r="440" spans="1:7" x14ac:dyDescent="0.25">
      <c r="A440" s="1">
        <v>45627</v>
      </c>
      <c r="B440" t="s">
        <v>7</v>
      </c>
      <c r="C440" t="s">
        <v>476</v>
      </c>
      <c r="D440" t="s">
        <v>483</v>
      </c>
      <c r="E440">
        <v>75783994.709999993</v>
      </c>
      <c r="F440">
        <v>74419487.150000006</v>
      </c>
      <c r="G440">
        <v>600493.6</v>
      </c>
    </row>
    <row r="441" spans="1:7" x14ac:dyDescent="0.25">
      <c r="A441" s="1">
        <v>45383</v>
      </c>
      <c r="B441" t="s">
        <v>7</v>
      </c>
      <c r="C441" t="s">
        <v>476</v>
      </c>
      <c r="D441" t="s">
        <v>484</v>
      </c>
      <c r="E441">
        <v>52694504.299999997</v>
      </c>
      <c r="F441">
        <v>52023992.159999996</v>
      </c>
      <c r="G441">
        <v>2647573.9700000002</v>
      </c>
    </row>
    <row r="442" spans="1:7" x14ac:dyDescent="0.25">
      <c r="A442" s="1">
        <v>45444</v>
      </c>
      <c r="B442" t="s">
        <v>7</v>
      </c>
      <c r="C442" t="s">
        <v>476</v>
      </c>
      <c r="D442" t="s">
        <v>485</v>
      </c>
      <c r="E442">
        <v>65193446.579999998</v>
      </c>
      <c r="F442">
        <v>55457426.469999999</v>
      </c>
      <c r="G442">
        <v>2419092.27</v>
      </c>
    </row>
    <row r="443" spans="1:7" x14ac:dyDescent="0.25">
      <c r="A443" s="1">
        <v>45352</v>
      </c>
      <c r="B443" t="s">
        <v>7</v>
      </c>
      <c r="C443" t="s">
        <v>476</v>
      </c>
      <c r="D443" t="s">
        <v>486</v>
      </c>
      <c r="E443">
        <v>51566929.340000004</v>
      </c>
      <c r="F443">
        <v>51086124.75</v>
      </c>
      <c r="G443">
        <v>5191943.6399999997</v>
      </c>
    </row>
    <row r="444" spans="1:7" x14ac:dyDescent="0.25">
      <c r="A444" s="1">
        <v>45536</v>
      </c>
      <c r="B444" t="s">
        <v>7</v>
      </c>
      <c r="C444" t="s">
        <v>476</v>
      </c>
      <c r="D444" t="s">
        <v>487</v>
      </c>
      <c r="E444">
        <v>53923922.920000002</v>
      </c>
      <c r="F444">
        <v>53443669.229999997</v>
      </c>
      <c r="G444">
        <v>1217791.75</v>
      </c>
    </row>
    <row r="445" spans="1:7" x14ac:dyDescent="0.25">
      <c r="A445" s="1">
        <v>45505</v>
      </c>
      <c r="B445" t="s">
        <v>7</v>
      </c>
      <c r="C445" t="s">
        <v>476</v>
      </c>
      <c r="D445" t="s">
        <v>488</v>
      </c>
      <c r="E445">
        <v>55151679.82</v>
      </c>
      <c r="F445">
        <v>54432060.32</v>
      </c>
      <c r="G445">
        <v>1106825.45</v>
      </c>
    </row>
    <row r="446" spans="1:7" x14ac:dyDescent="0.25">
      <c r="A446" s="1">
        <v>45627</v>
      </c>
      <c r="B446" t="s">
        <v>7</v>
      </c>
      <c r="C446" t="s">
        <v>489</v>
      </c>
      <c r="D446" t="s">
        <v>490</v>
      </c>
      <c r="E446">
        <v>35180943.259999998</v>
      </c>
      <c r="F446">
        <v>42097604.799999997</v>
      </c>
      <c r="G446">
        <v>1635445.57</v>
      </c>
    </row>
    <row r="447" spans="1:7" x14ac:dyDescent="0.25">
      <c r="A447" s="1">
        <v>45352</v>
      </c>
      <c r="B447" t="s">
        <v>7</v>
      </c>
      <c r="C447" t="s">
        <v>489</v>
      </c>
      <c r="D447" t="s">
        <v>491</v>
      </c>
      <c r="E447">
        <v>20681057.050000001</v>
      </c>
      <c r="F447">
        <v>20236616.940000001</v>
      </c>
      <c r="G447">
        <v>4807509.82</v>
      </c>
    </row>
    <row r="448" spans="1:7" x14ac:dyDescent="0.25">
      <c r="A448" s="1">
        <v>45566</v>
      </c>
      <c r="B448" t="s">
        <v>7</v>
      </c>
      <c r="C448" t="s">
        <v>489</v>
      </c>
      <c r="D448" t="s">
        <v>492</v>
      </c>
      <c r="E448">
        <v>26344980.800000001</v>
      </c>
      <c r="F448">
        <v>24794811.309999999</v>
      </c>
      <c r="G448">
        <v>797701.45</v>
      </c>
    </row>
    <row r="449" spans="1:7" x14ac:dyDescent="0.25">
      <c r="A449" s="1">
        <v>45597</v>
      </c>
      <c r="B449" t="s">
        <v>7</v>
      </c>
      <c r="C449" t="s">
        <v>489</v>
      </c>
      <c r="D449" t="s">
        <v>493</v>
      </c>
      <c r="E449">
        <v>35130121.119999997</v>
      </c>
      <c r="F449">
        <v>29228373.920000002</v>
      </c>
      <c r="G449">
        <v>273339.71999999997</v>
      </c>
    </row>
    <row r="450" spans="1:7" x14ac:dyDescent="0.25">
      <c r="A450" s="1">
        <v>45444</v>
      </c>
      <c r="B450" t="s">
        <v>7</v>
      </c>
      <c r="C450" t="s">
        <v>489</v>
      </c>
      <c r="D450" t="s">
        <v>494</v>
      </c>
      <c r="E450">
        <v>35179850.890000001</v>
      </c>
      <c r="F450">
        <v>25616123.359999999</v>
      </c>
      <c r="G450">
        <v>2046572.58</v>
      </c>
    </row>
    <row r="451" spans="1:7" x14ac:dyDescent="0.25">
      <c r="A451" s="1">
        <v>45474</v>
      </c>
      <c r="B451" t="s">
        <v>7</v>
      </c>
      <c r="C451" t="s">
        <v>489</v>
      </c>
      <c r="D451" t="s">
        <v>495</v>
      </c>
      <c r="E451">
        <v>24128858.59</v>
      </c>
      <c r="F451">
        <v>37060332.039999999</v>
      </c>
      <c r="G451">
        <v>1326907.69</v>
      </c>
    </row>
    <row r="452" spans="1:7" x14ac:dyDescent="0.25">
      <c r="A452" s="1">
        <v>45413</v>
      </c>
      <c r="B452" t="s">
        <v>7</v>
      </c>
      <c r="C452" t="s">
        <v>489</v>
      </c>
      <c r="D452" t="s">
        <v>496</v>
      </c>
      <c r="E452">
        <v>24194836</v>
      </c>
      <c r="F452">
        <v>22010539.079999998</v>
      </c>
      <c r="G452">
        <v>2358507.1</v>
      </c>
    </row>
    <row r="453" spans="1:7" x14ac:dyDescent="0.25">
      <c r="A453" s="1">
        <v>45536</v>
      </c>
      <c r="B453" t="s">
        <v>7</v>
      </c>
      <c r="C453" t="s">
        <v>489</v>
      </c>
      <c r="D453" t="s">
        <v>497</v>
      </c>
      <c r="E453">
        <v>26513802.609999999</v>
      </c>
      <c r="F453">
        <v>23196474.25</v>
      </c>
      <c r="G453">
        <v>887605.95</v>
      </c>
    </row>
    <row r="454" spans="1:7" x14ac:dyDescent="0.25">
      <c r="A454" s="1">
        <v>45383</v>
      </c>
      <c r="B454" t="s">
        <v>7</v>
      </c>
      <c r="C454" t="s">
        <v>489</v>
      </c>
      <c r="D454" t="s">
        <v>498</v>
      </c>
      <c r="E454">
        <v>28706722.879999999</v>
      </c>
      <c r="F454">
        <v>21432695.48</v>
      </c>
      <c r="G454">
        <v>8203119.3600000003</v>
      </c>
    </row>
    <row r="455" spans="1:7" x14ac:dyDescent="0.25">
      <c r="A455" s="1">
        <v>45505</v>
      </c>
      <c r="B455" t="s">
        <v>7</v>
      </c>
      <c r="C455" t="s">
        <v>489</v>
      </c>
      <c r="D455" t="s">
        <v>499</v>
      </c>
      <c r="E455">
        <v>27103601.960000001</v>
      </c>
      <c r="F455">
        <v>25107180.18</v>
      </c>
      <c r="G455">
        <v>1316440.78</v>
      </c>
    </row>
    <row r="456" spans="1:7" x14ac:dyDescent="0.25">
      <c r="A456" s="1">
        <v>45292</v>
      </c>
      <c r="B456" t="s">
        <v>7</v>
      </c>
      <c r="C456" t="s">
        <v>489</v>
      </c>
      <c r="D456" t="s">
        <v>500</v>
      </c>
      <c r="E456">
        <v>18456194.699999999</v>
      </c>
      <c r="F456">
        <v>4106418.95</v>
      </c>
      <c r="G456">
        <v>39363581.350000001</v>
      </c>
    </row>
    <row r="457" spans="1:7" x14ac:dyDescent="0.25">
      <c r="A457" s="1">
        <v>45323</v>
      </c>
      <c r="B457" t="s">
        <v>7</v>
      </c>
      <c r="C457" t="s">
        <v>489</v>
      </c>
      <c r="D457" t="s">
        <v>501</v>
      </c>
      <c r="E457">
        <v>19199124.809999999</v>
      </c>
      <c r="F457">
        <v>17084160.579999998</v>
      </c>
      <c r="G457">
        <v>6681924.1500000004</v>
      </c>
    </row>
    <row r="458" spans="1:7" x14ac:dyDescent="0.25">
      <c r="A458" s="1">
        <v>45292</v>
      </c>
      <c r="B458" t="s">
        <v>7</v>
      </c>
      <c r="C458" t="s">
        <v>502</v>
      </c>
      <c r="D458" t="s">
        <v>503</v>
      </c>
      <c r="E458">
        <v>11353810.689999999</v>
      </c>
      <c r="F458">
        <v>2249299.91</v>
      </c>
      <c r="G458">
        <v>14704725</v>
      </c>
    </row>
    <row r="459" spans="1:7" x14ac:dyDescent="0.25">
      <c r="A459" s="1">
        <v>45444</v>
      </c>
      <c r="B459" t="s">
        <v>7</v>
      </c>
      <c r="C459" t="s">
        <v>502</v>
      </c>
      <c r="D459" t="s">
        <v>504</v>
      </c>
      <c r="E459">
        <v>18145130.289999999</v>
      </c>
      <c r="F459">
        <v>14908861.09</v>
      </c>
      <c r="G459">
        <v>657078.81000000006</v>
      </c>
    </row>
    <row r="460" spans="1:7" x14ac:dyDescent="0.25">
      <c r="A460" s="1">
        <v>45505</v>
      </c>
      <c r="B460" t="s">
        <v>7</v>
      </c>
      <c r="C460" t="s">
        <v>502</v>
      </c>
      <c r="D460" t="s">
        <v>505</v>
      </c>
      <c r="E460">
        <v>15035769.960000001</v>
      </c>
      <c r="F460">
        <v>15380105.27</v>
      </c>
      <c r="G460">
        <v>51053.49</v>
      </c>
    </row>
    <row r="461" spans="1:7" x14ac:dyDescent="0.25">
      <c r="A461" s="1">
        <v>45566</v>
      </c>
      <c r="B461" t="s">
        <v>7</v>
      </c>
      <c r="C461" t="s">
        <v>502</v>
      </c>
      <c r="D461" t="s">
        <v>506</v>
      </c>
      <c r="E461">
        <v>32816996.149999999</v>
      </c>
      <c r="F461">
        <v>20028777.170000002</v>
      </c>
      <c r="G461">
        <v>668603.46</v>
      </c>
    </row>
    <row r="462" spans="1:7" x14ac:dyDescent="0.25">
      <c r="A462" s="1">
        <v>45383</v>
      </c>
      <c r="B462" t="s">
        <v>7</v>
      </c>
      <c r="C462" t="s">
        <v>502</v>
      </c>
      <c r="D462" t="s">
        <v>507</v>
      </c>
      <c r="E462">
        <v>12796413.470000001</v>
      </c>
      <c r="F462">
        <v>12835135.09</v>
      </c>
      <c r="G462">
        <v>1955436.94</v>
      </c>
    </row>
    <row r="463" spans="1:7" x14ac:dyDescent="0.25">
      <c r="A463" s="1">
        <v>45474</v>
      </c>
      <c r="B463" t="s">
        <v>7</v>
      </c>
      <c r="C463" t="s">
        <v>502</v>
      </c>
      <c r="D463" t="s">
        <v>508</v>
      </c>
      <c r="E463">
        <v>27994733.91</v>
      </c>
      <c r="F463">
        <v>16787882.379999999</v>
      </c>
      <c r="G463">
        <v>420737.47</v>
      </c>
    </row>
    <row r="464" spans="1:7" x14ac:dyDescent="0.25">
      <c r="A464" s="1">
        <v>45627</v>
      </c>
      <c r="B464" t="s">
        <v>7</v>
      </c>
      <c r="C464" t="s">
        <v>502</v>
      </c>
      <c r="D464" t="s">
        <v>509</v>
      </c>
      <c r="E464">
        <v>16153690.720000001</v>
      </c>
      <c r="F464">
        <v>16843559.649999999</v>
      </c>
      <c r="G464">
        <v>3953629.93</v>
      </c>
    </row>
    <row r="465" spans="1:7" x14ac:dyDescent="0.25">
      <c r="A465" s="1">
        <v>45352</v>
      </c>
      <c r="B465" t="s">
        <v>7</v>
      </c>
      <c r="C465" t="s">
        <v>502</v>
      </c>
      <c r="D465" t="s">
        <v>510</v>
      </c>
      <c r="E465">
        <v>12166111.01</v>
      </c>
      <c r="F465">
        <v>11730357.9</v>
      </c>
      <c r="G465">
        <v>2101794.6</v>
      </c>
    </row>
    <row r="466" spans="1:7" x14ac:dyDescent="0.25">
      <c r="A466" s="1">
        <v>45536</v>
      </c>
      <c r="B466" t="s">
        <v>7</v>
      </c>
      <c r="C466" t="s">
        <v>502</v>
      </c>
      <c r="D466" t="s">
        <v>511</v>
      </c>
      <c r="F466">
        <v>13468494.560000001</v>
      </c>
      <c r="G466">
        <v>472867.1</v>
      </c>
    </row>
    <row r="467" spans="1:7" x14ac:dyDescent="0.25">
      <c r="A467" s="1">
        <v>45597</v>
      </c>
      <c r="B467" t="s">
        <v>7</v>
      </c>
      <c r="C467" t="s">
        <v>502</v>
      </c>
      <c r="D467" t="s">
        <v>512</v>
      </c>
      <c r="E467">
        <v>19760996.469999999</v>
      </c>
      <c r="F467">
        <v>27289469.140000001</v>
      </c>
      <c r="G467">
        <v>504450.09</v>
      </c>
    </row>
    <row r="468" spans="1:7" x14ac:dyDescent="0.25">
      <c r="A468" s="1">
        <v>45413</v>
      </c>
      <c r="B468" t="s">
        <v>7</v>
      </c>
      <c r="C468" t="s">
        <v>502</v>
      </c>
      <c r="D468" t="s">
        <v>513</v>
      </c>
      <c r="E468">
        <v>12950840.810000001</v>
      </c>
      <c r="F468">
        <v>12171878.24</v>
      </c>
      <c r="G468">
        <v>2106455.5</v>
      </c>
    </row>
    <row r="469" spans="1:7" x14ac:dyDescent="0.25">
      <c r="A469" s="1">
        <v>45323</v>
      </c>
      <c r="B469" t="s">
        <v>7</v>
      </c>
      <c r="C469" t="s">
        <v>502</v>
      </c>
      <c r="D469" t="s">
        <v>514</v>
      </c>
      <c r="E469">
        <v>11489387.76</v>
      </c>
      <c r="F469">
        <v>11409179.560000001</v>
      </c>
      <c r="G469">
        <v>3401742.43</v>
      </c>
    </row>
    <row r="470" spans="1:7" x14ac:dyDescent="0.25">
      <c r="A470" s="1">
        <v>45292</v>
      </c>
      <c r="B470" t="s">
        <v>7</v>
      </c>
      <c r="C470" t="s">
        <v>515</v>
      </c>
      <c r="D470" t="s">
        <v>516</v>
      </c>
      <c r="E470">
        <v>51029617.759999998</v>
      </c>
      <c r="F470">
        <v>10349555.07</v>
      </c>
      <c r="G470">
        <v>73499610.180000007</v>
      </c>
    </row>
    <row r="471" spans="1:7" x14ac:dyDescent="0.25">
      <c r="A471" s="1">
        <v>45352</v>
      </c>
      <c r="B471" t="s">
        <v>7</v>
      </c>
      <c r="C471" t="s">
        <v>515</v>
      </c>
      <c r="D471" t="s">
        <v>517</v>
      </c>
      <c r="E471">
        <v>54781557.07</v>
      </c>
      <c r="F471">
        <v>52719725.200000003</v>
      </c>
      <c r="G471">
        <v>5470930.2199999997</v>
      </c>
    </row>
    <row r="472" spans="1:7" x14ac:dyDescent="0.25">
      <c r="A472" s="1">
        <v>45597</v>
      </c>
      <c r="B472" t="s">
        <v>7</v>
      </c>
      <c r="C472" t="s">
        <v>515</v>
      </c>
      <c r="D472" t="s">
        <v>518</v>
      </c>
      <c r="E472">
        <v>89683413.400000006</v>
      </c>
      <c r="F472">
        <v>71070366.079999998</v>
      </c>
      <c r="G472">
        <v>381645.45</v>
      </c>
    </row>
    <row r="473" spans="1:7" x14ac:dyDescent="0.25">
      <c r="A473" s="1">
        <v>45323</v>
      </c>
      <c r="B473" t="s">
        <v>7</v>
      </c>
      <c r="C473" t="s">
        <v>515</v>
      </c>
      <c r="D473" t="s">
        <v>519</v>
      </c>
      <c r="E473">
        <v>50452837.090000004</v>
      </c>
      <c r="F473">
        <v>44269242.990000002</v>
      </c>
      <c r="G473">
        <v>15716286.199999999</v>
      </c>
    </row>
    <row r="474" spans="1:7" x14ac:dyDescent="0.25">
      <c r="A474" s="1">
        <v>45383</v>
      </c>
      <c r="B474" t="s">
        <v>7</v>
      </c>
      <c r="C474" t="s">
        <v>515</v>
      </c>
      <c r="D474" t="s">
        <v>520</v>
      </c>
      <c r="E474">
        <v>55797785.710000001</v>
      </c>
      <c r="F474">
        <v>54891624.109999999</v>
      </c>
      <c r="G474">
        <v>8177852.4500000002</v>
      </c>
    </row>
    <row r="475" spans="1:7" x14ac:dyDescent="0.25">
      <c r="A475" s="1">
        <v>45505</v>
      </c>
      <c r="B475" t="s">
        <v>7</v>
      </c>
      <c r="C475" t="s">
        <v>515</v>
      </c>
      <c r="D475" t="s">
        <v>521</v>
      </c>
      <c r="E475">
        <v>58467599.030000001</v>
      </c>
      <c r="F475">
        <v>57985494.689999998</v>
      </c>
      <c r="G475">
        <v>870854.6</v>
      </c>
    </row>
    <row r="476" spans="1:7" x14ac:dyDescent="0.25">
      <c r="A476" s="1">
        <v>45444</v>
      </c>
      <c r="B476" t="s">
        <v>7</v>
      </c>
      <c r="C476" t="s">
        <v>515</v>
      </c>
      <c r="D476" t="s">
        <v>522</v>
      </c>
      <c r="E476">
        <v>70152192.870000005</v>
      </c>
      <c r="F476">
        <v>59794482.520000003</v>
      </c>
      <c r="G476">
        <v>2687266.74</v>
      </c>
    </row>
    <row r="477" spans="1:7" x14ac:dyDescent="0.25">
      <c r="A477" s="1">
        <v>45474</v>
      </c>
      <c r="B477" t="s">
        <v>7</v>
      </c>
      <c r="C477" t="s">
        <v>515</v>
      </c>
      <c r="D477" t="s">
        <v>523</v>
      </c>
      <c r="E477">
        <v>57753151.469999999</v>
      </c>
      <c r="F477">
        <v>70058137.959999993</v>
      </c>
      <c r="G477">
        <v>1898066.23</v>
      </c>
    </row>
    <row r="478" spans="1:7" x14ac:dyDescent="0.25">
      <c r="A478" s="1">
        <v>45566</v>
      </c>
      <c r="B478" t="s">
        <v>7</v>
      </c>
      <c r="C478" t="s">
        <v>515</v>
      </c>
      <c r="D478" t="s">
        <v>524</v>
      </c>
      <c r="E478">
        <v>60717014.310000002</v>
      </c>
      <c r="F478">
        <v>60142123.759999998</v>
      </c>
      <c r="G478">
        <v>1230654.83</v>
      </c>
    </row>
    <row r="479" spans="1:7" x14ac:dyDescent="0.25">
      <c r="A479" s="1">
        <v>45627</v>
      </c>
      <c r="B479" t="s">
        <v>7</v>
      </c>
      <c r="C479" t="s">
        <v>515</v>
      </c>
      <c r="D479" t="s">
        <v>525</v>
      </c>
      <c r="E479">
        <v>85105148.560000002</v>
      </c>
      <c r="F479">
        <v>73912460.670000002</v>
      </c>
      <c r="G479">
        <v>1249935.3799999999</v>
      </c>
    </row>
    <row r="480" spans="1:7" x14ac:dyDescent="0.25">
      <c r="A480" s="1">
        <v>45413</v>
      </c>
      <c r="B480" t="s">
        <v>7</v>
      </c>
      <c r="C480" t="s">
        <v>515</v>
      </c>
      <c r="D480" t="s">
        <v>526</v>
      </c>
      <c r="E480">
        <v>59562058.619999997</v>
      </c>
      <c r="F480">
        <v>56770849.549999997</v>
      </c>
      <c r="G480">
        <v>1950621.43</v>
      </c>
    </row>
    <row r="481" spans="1:7" x14ac:dyDescent="0.25">
      <c r="A481" s="1">
        <v>45536</v>
      </c>
      <c r="B481" t="s">
        <v>7</v>
      </c>
      <c r="C481" t="s">
        <v>515</v>
      </c>
      <c r="D481" t="s">
        <v>527</v>
      </c>
      <c r="E481">
        <v>61568487.829999998</v>
      </c>
      <c r="F481">
        <v>60668322.560000002</v>
      </c>
      <c r="G481">
        <v>1270088.04</v>
      </c>
    </row>
    <row r="482" spans="1:7" x14ac:dyDescent="0.25">
      <c r="A482" s="1">
        <v>45536</v>
      </c>
      <c r="B482" t="s">
        <v>7</v>
      </c>
      <c r="C482" t="s">
        <v>528</v>
      </c>
      <c r="D482" t="s">
        <v>529</v>
      </c>
      <c r="E482">
        <v>27966845.600000001</v>
      </c>
      <c r="F482">
        <v>26921472.93</v>
      </c>
      <c r="G482">
        <v>647483.79</v>
      </c>
    </row>
    <row r="483" spans="1:7" x14ac:dyDescent="0.25">
      <c r="A483" s="1">
        <v>45413</v>
      </c>
      <c r="B483" t="s">
        <v>7</v>
      </c>
      <c r="C483" t="s">
        <v>528</v>
      </c>
      <c r="D483" t="s">
        <v>530</v>
      </c>
      <c r="E483">
        <v>26817332.52</v>
      </c>
      <c r="F483">
        <v>26300657.359999999</v>
      </c>
      <c r="G483">
        <v>869845.76</v>
      </c>
    </row>
    <row r="484" spans="1:7" x14ac:dyDescent="0.25">
      <c r="A484" s="1">
        <v>45566</v>
      </c>
      <c r="B484" t="s">
        <v>7</v>
      </c>
      <c r="C484" t="s">
        <v>528</v>
      </c>
      <c r="D484" t="s">
        <v>531</v>
      </c>
      <c r="E484">
        <v>27046179.59</v>
      </c>
      <c r="F484">
        <v>27335937.899999999</v>
      </c>
      <c r="G484">
        <v>610251.78</v>
      </c>
    </row>
    <row r="485" spans="1:7" x14ac:dyDescent="0.25">
      <c r="A485" s="1">
        <v>45627</v>
      </c>
      <c r="B485" t="s">
        <v>7</v>
      </c>
      <c r="C485" t="s">
        <v>528</v>
      </c>
      <c r="D485" t="s">
        <v>532</v>
      </c>
      <c r="E485">
        <v>36775124.18</v>
      </c>
      <c r="F485">
        <v>34795104.509999998</v>
      </c>
      <c r="G485">
        <v>754181.05</v>
      </c>
    </row>
    <row r="486" spans="1:7" x14ac:dyDescent="0.25">
      <c r="A486" s="1">
        <v>45352</v>
      </c>
      <c r="B486" t="s">
        <v>7</v>
      </c>
      <c r="C486" t="s">
        <v>528</v>
      </c>
      <c r="D486" t="s">
        <v>533</v>
      </c>
      <c r="E486">
        <v>25798904.350000001</v>
      </c>
      <c r="F486">
        <v>25536270.510000002</v>
      </c>
      <c r="G486">
        <v>1049865.5</v>
      </c>
    </row>
    <row r="487" spans="1:7" x14ac:dyDescent="0.25">
      <c r="A487" s="1">
        <v>45597</v>
      </c>
      <c r="B487" t="s">
        <v>7</v>
      </c>
      <c r="C487" t="s">
        <v>528</v>
      </c>
      <c r="D487" t="s">
        <v>534</v>
      </c>
      <c r="E487">
        <v>40920147.75</v>
      </c>
      <c r="F487">
        <v>32287046.550000001</v>
      </c>
      <c r="G487">
        <v>510720.74</v>
      </c>
    </row>
    <row r="488" spans="1:7" x14ac:dyDescent="0.25">
      <c r="A488" s="1">
        <v>45444</v>
      </c>
      <c r="B488" t="s">
        <v>7</v>
      </c>
      <c r="C488" t="s">
        <v>528</v>
      </c>
      <c r="D488" t="s">
        <v>535</v>
      </c>
      <c r="E488">
        <v>31576509.399999999</v>
      </c>
      <c r="F488">
        <v>26494659.539999999</v>
      </c>
      <c r="G488">
        <v>334878.96999999997</v>
      </c>
    </row>
    <row r="489" spans="1:7" x14ac:dyDescent="0.25">
      <c r="A489" s="1">
        <v>45323</v>
      </c>
      <c r="B489" t="s">
        <v>7</v>
      </c>
      <c r="C489" t="s">
        <v>528</v>
      </c>
      <c r="D489" t="s">
        <v>536</v>
      </c>
      <c r="E489">
        <v>24846389.16</v>
      </c>
      <c r="F489">
        <v>21925960.18</v>
      </c>
      <c r="G489">
        <v>3999458.98</v>
      </c>
    </row>
    <row r="490" spans="1:7" x14ac:dyDescent="0.25">
      <c r="A490" s="1">
        <v>45505</v>
      </c>
      <c r="B490" t="s">
        <v>7</v>
      </c>
      <c r="C490" t="s">
        <v>528</v>
      </c>
      <c r="D490" t="s">
        <v>537</v>
      </c>
      <c r="E490">
        <v>26686168.719999999</v>
      </c>
      <c r="F490">
        <v>26620623.109999999</v>
      </c>
      <c r="G490">
        <v>709480.39</v>
      </c>
    </row>
    <row r="491" spans="1:7" x14ac:dyDescent="0.25">
      <c r="A491" s="1">
        <v>45292</v>
      </c>
      <c r="B491" t="s">
        <v>7</v>
      </c>
      <c r="C491" t="s">
        <v>528</v>
      </c>
      <c r="D491" t="s">
        <v>538</v>
      </c>
      <c r="E491">
        <v>24176859.760000002</v>
      </c>
      <c r="F491">
        <v>4697897.97</v>
      </c>
      <c r="G491">
        <v>35788135.75</v>
      </c>
    </row>
    <row r="492" spans="1:7" x14ac:dyDescent="0.25">
      <c r="A492" s="1">
        <v>45474</v>
      </c>
      <c r="B492" t="s">
        <v>7</v>
      </c>
      <c r="C492" t="s">
        <v>528</v>
      </c>
      <c r="D492" t="s">
        <v>539</v>
      </c>
      <c r="E492">
        <v>26488176.829999998</v>
      </c>
      <c r="F492">
        <v>32197597.399999999</v>
      </c>
      <c r="G492">
        <v>553570.07999999996</v>
      </c>
    </row>
    <row r="493" spans="1:7" x14ac:dyDescent="0.25">
      <c r="A493" s="1">
        <v>45383</v>
      </c>
      <c r="B493" t="s">
        <v>7</v>
      </c>
      <c r="C493" t="s">
        <v>528</v>
      </c>
      <c r="D493" t="s">
        <v>540</v>
      </c>
      <c r="E493">
        <v>26258884.969999999</v>
      </c>
      <c r="F493">
        <v>25930359.640000001</v>
      </c>
      <c r="G493">
        <v>1416629.06</v>
      </c>
    </row>
    <row r="494" spans="1:7" x14ac:dyDescent="0.25">
      <c r="A494" s="1">
        <v>45444</v>
      </c>
      <c r="B494" t="s">
        <v>7</v>
      </c>
      <c r="C494" t="s">
        <v>541</v>
      </c>
      <c r="D494" t="s">
        <v>542</v>
      </c>
      <c r="E494">
        <v>122099298.09999999</v>
      </c>
      <c r="F494">
        <v>99354765.269999996</v>
      </c>
      <c r="G494">
        <v>5611781.0199999996</v>
      </c>
    </row>
    <row r="495" spans="1:7" x14ac:dyDescent="0.25">
      <c r="A495" s="1">
        <v>45323</v>
      </c>
      <c r="B495" t="s">
        <v>7</v>
      </c>
      <c r="C495" t="s">
        <v>541</v>
      </c>
      <c r="D495" t="s">
        <v>543</v>
      </c>
      <c r="E495">
        <v>82024681.709999993</v>
      </c>
      <c r="F495">
        <v>82986531.680000007</v>
      </c>
      <c r="G495">
        <v>9729808.1400000006</v>
      </c>
    </row>
    <row r="496" spans="1:7" x14ac:dyDescent="0.25">
      <c r="A496" s="1">
        <v>45474</v>
      </c>
      <c r="B496" t="s">
        <v>7</v>
      </c>
      <c r="C496" t="s">
        <v>541</v>
      </c>
      <c r="D496" t="s">
        <v>544</v>
      </c>
      <c r="E496">
        <v>95898944.670000002</v>
      </c>
      <c r="F496">
        <v>121540345.70999999</v>
      </c>
      <c r="G496">
        <v>3763969.33</v>
      </c>
    </row>
    <row r="497" spans="1:7" x14ac:dyDescent="0.25">
      <c r="A497" s="1">
        <v>45505</v>
      </c>
      <c r="B497" t="s">
        <v>7</v>
      </c>
      <c r="C497" t="s">
        <v>541</v>
      </c>
      <c r="D497" t="s">
        <v>545</v>
      </c>
      <c r="E497">
        <v>102147220.78</v>
      </c>
      <c r="F497">
        <v>100463854.67</v>
      </c>
      <c r="G497">
        <v>1432656.81</v>
      </c>
    </row>
    <row r="498" spans="1:7" x14ac:dyDescent="0.25">
      <c r="A498" s="1">
        <v>45566</v>
      </c>
      <c r="B498" t="s">
        <v>7</v>
      </c>
      <c r="C498" t="s">
        <v>541</v>
      </c>
      <c r="D498" t="s">
        <v>546</v>
      </c>
      <c r="E498">
        <v>109262031.68000001</v>
      </c>
      <c r="F498">
        <v>105700957.16</v>
      </c>
      <c r="G498">
        <v>2175844.6</v>
      </c>
    </row>
    <row r="499" spans="1:7" x14ac:dyDescent="0.25">
      <c r="A499" s="1">
        <v>45627</v>
      </c>
      <c r="B499" t="s">
        <v>7</v>
      </c>
      <c r="C499" t="s">
        <v>541</v>
      </c>
      <c r="D499" t="s">
        <v>547</v>
      </c>
      <c r="E499">
        <v>140458710.53</v>
      </c>
      <c r="F499">
        <v>138875874.86000001</v>
      </c>
      <c r="G499">
        <v>3819600.92</v>
      </c>
    </row>
    <row r="500" spans="1:7" x14ac:dyDescent="0.25">
      <c r="A500" s="1">
        <v>45352</v>
      </c>
      <c r="B500" t="s">
        <v>7</v>
      </c>
      <c r="C500" t="s">
        <v>541</v>
      </c>
      <c r="D500" t="s">
        <v>548</v>
      </c>
      <c r="E500">
        <v>87419018.439999998</v>
      </c>
      <c r="F500">
        <v>84399173.400000006</v>
      </c>
      <c r="G500">
        <v>13720516.140000001</v>
      </c>
    </row>
    <row r="501" spans="1:7" x14ac:dyDescent="0.25">
      <c r="A501" s="1">
        <v>45383</v>
      </c>
      <c r="B501" t="s">
        <v>7</v>
      </c>
      <c r="C501" t="s">
        <v>541</v>
      </c>
      <c r="D501" t="s">
        <v>549</v>
      </c>
      <c r="E501">
        <v>89469348.829999998</v>
      </c>
      <c r="F501">
        <v>88547977.640000001</v>
      </c>
      <c r="G501">
        <v>16072502.23</v>
      </c>
    </row>
    <row r="502" spans="1:7" x14ac:dyDescent="0.25">
      <c r="A502" s="1">
        <v>45536</v>
      </c>
      <c r="B502" t="s">
        <v>7</v>
      </c>
      <c r="C502" t="s">
        <v>541</v>
      </c>
      <c r="D502" t="s">
        <v>550</v>
      </c>
      <c r="E502">
        <v>107589843.56</v>
      </c>
      <c r="F502">
        <v>104721746.92</v>
      </c>
      <c r="G502">
        <v>4094755.91</v>
      </c>
    </row>
    <row r="503" spans="1:7" x14ac:dyDescent="0.25">
      <c r="A503" s="1">
        <v>45413</v>
      </c>
      <c r="B503" t="s">
        <v>7</v>
      </c>
      <c r="C503" t="s">
        <v>541</v>
      </c>
      <c r="D503" t="s">
        <v>551</v>
      </c>
      <c r="E503">
        <v>100268552.79000001</v>
      </c>
      <c r="F503">
        <v>93438717.280000001</v>
      </c>
      <c r="G503">
        <v>8913836.9100000001</v>
      </c>
    </row>
    <row r="504" spans="1:7" x14ac:dyDescent="0.25">
      <c r="A504" s="1">
        <v>45597</v>
      </c>
      <c r="B504" t="s">
        <v>7</v>
      </c>
      <c r="C504" t="s">
        <v>541</v>
      </c>
      <c r="D504" t="s">
        <v>552</v>
      </c>
      <c r="E504">
        <v>152735569.16999999</v>
      </c>
      <c r="F504">
        <v>124325406.68000001</v>
      </c>
      <c r="G504">
        <v>2662293.8199999998</v>
      </c>
    </row>
    <row r="505" spans="1:7" x14ac:dyDescent="0.25">
      <c r="A505" s="1">
        <v>45292</v>
      </c>
      <c r="B505" t="s">
        <v>7</v>
      </c>
      <c r="C505" t="s">
        <v>541</v>
      </c>
      <c r="D505" t="s">
        <v>553</v>
      </c>
      <c r="E505">
        <v>81740798.540000007</v>
      </c>
      <c r="F505">
        <v>16271354.800000001</v>
      </c>
      <c r="G505">
        <v>98899547.340000004</v>
      </c>
    </row>
    <row r="506" spans="1:7" x14ac:dyDescent="0.25">
      <c r="A506" s="1">
        <v>45627</v>
      </c>
      <c r="B506" t="s">
        <v>7</v>
      </c>
      <c r="C506" t="s">
        <v>554</v>
      </c>
      <c r="D506" t="s">
        <v>555</v>
      </c>
      <c r="E506">
        <v>14833414.220000001</v>
      </c>
      <c r="F506">
        <v>15974802.09</v>
      </c>
      <c r="G506">
        <v>1623422.69</v>
      </c>
    </row>
    <row r="507" spans="1:7" x14ac:dyDescent="0.25">
      <c r="A507" s="1">
        <v>45597</v>
      </c>
      <c r="B507" t="s">
        <v>7</v>
      </c>
      <c r="C507" t="s">
        <v>554</v>
      </c>
      <c r="D507" t="s">
        <v>556</v>
      </c>
      <c r="E507">
        <v>19394084.190000001</v>
      </c>
      <c r="F507">
        <v>15404764.91</v>
      </c>
      <c r="G507">
        <v>339183.9</v>
      </c>
    </row>
    <row r="508" spans="1:7" x14ac:dyDescent="0.25">
      <c r="A508" s="1">
        <v>45566</v>
      </c>
      <c r="B508" t="s">
        <v>7</v>
      </c>
      <c r="C508" t="s">
        <v>554</v>
      </c>
      <c r="D508" t="s">
        <v>557</v>
      </c>
      <c r="E508">
        <v>13252275.220000001</v>
      </c>
      <c r="F508">
        <v>13043017.52</v>
      </c>
      <c r="G508">
        <v>530871.37</v>
      </c>
    </row>
    <row r="509" spans="1:7" x14ac:dyDescent="0.25">
      <c r="A509" s="1">
        <v>45505</v>
      </c>
      <c r="B509" t="s">
        <v>7</v>
      </c>
      <c r="C509" t="s">
        <v>554</v>
      </c>
      <c r="D509" t="s">
        <v>558</v>
      </c>
      <c r="E509">
        <v>13371707.029999999</v>
      </c>
      <c r="F509">
        <v>12763127.65</v>
      </c>
      <c r="G509">
        <v>966774.17</v>
      </c>
    </row>
    <row r="510" spans="1:7" x14ac:dyDescent="0.25">
      <c r="A510" s="1">
        <v>45536</v>
      </c>
      <c r="B510" t="s">
        <v>7</v>
      </c>
      <c r="C510" t="s">
        <v>554</v>
      </c>
      <c r="D510" t="s">
        <v>559</v>
      </c>
      <c r="E510">
        <v>12191828.529999999</v>
      </c>
      <c r="F510">
        <v>13000720.359999999</v>
      </c>
      <c r="G510">
        <v>907020.59</v>
      </c>
    </row>
    <row r="511" spans="1:7" x14ac:dyDescent="0.25">
      <c r="A511" s="1">
        <v>45444</v>
      </c>
      <c r="B511" t="s">
        <v>7</v>
      </c>
      <c r="C511" t="s">
        <v>554</v>
      </c>
      <c r="D511" t="s">
        <v>560</v>
      </c>
      <c r="E511">
        <v>15034691.279999999</v>
      </c>
      <c r="F511">
        <v>12260787.23</v>
      </c>
      <c r="G511">
        <v>1957883.48</v>
      </c>
    </row>
    <row r="512" spans="1:7" x14ac:dyDescent="0.25">
      <c r="A512" s="1">
        <v>45383</v>
      </c>
      <c r="B512" t="s">
        <v>7</v>
      </c>
      <c r="C512" t="s">
        <v>554</v>
      </c>
      <c r="D512" t="s">
        <v>561</v>
      </c>
      <c r="E512">
        <v>11532041.75</v>
      </c>
      <c r="F512">
        <v>12126295.6</v>
      </c>
      <c r="G512">
        <v>2103473.98</v>
      </c>
    </row>
    <row r="513" spans="1:7" x14ac:dyDescent="0.25">
      <c r="A513" s="1">
        <v>45323</v>
      </c>
      <c r="B513" t="s">
        <v>7</v>
      </c>
      <c r="C513" t="s">
        <v>554</v>
      </c>
      <c r="D513" t="s">
        <v>562</v>
      </c>
      <c r="E513">
        <v>10941348.85</v>
      </c>
      <c r="F513">
        <v>9606842.0399999991</v>
      </c>
      <c r="G513">
        <v>3623242.42</v>
      </c>
    </row>
    <row r="514" spans="1:7" x14ac:dyDescent="0.25">
      <c r="A514" s="1">
        <v>45352</v>
      </c>
      <c r="B514" t="s">
        <v>7</v>
      </c>
      <c r="C514" t="s">
        <v>554</v>
      </c>
      <c r="D514" t="s">
        <v>563</v>
      </c>
      <c r="E514">
        <v>12079074.98</v>
      </c>
      <c r="F514">
        <v>11122732.199999999</v>
      </c>
      <c r="G514">
        <v>1786793.87</v>
      </c>
    </row>
    <row r="515" spans="1:7" x14ac:dyDescent="0.25">
      <c r="A515" s="1">
        <v>45413</v>
      </c>
      <c r="B515" t="s">
        <v>7</v>
      </c>
      <c r="C515" t="s">
        <v>554</v>
      </c>
      <c r="D515" t="s">
        <v>564</v>
      </c>
      <c r="E515">
        <v>12393335.130000001</v>
      </c>
      <c r="F515">
        <v>11648944.130000001</v>
      </c>
      <c r="G515">
        <v>964432.45</v>
      </c>
    </row>
    <row r="516" spans="1:7" x14ac:dyDescent="0.25">
      <c r="A516" s="1">
        <v>45474</v>
      </c>
      <c r="B516" t="s">
        <v>7</v>
      </c>
      <c r="C516" t="s">
        <v>554</v>
      </c>
      <c r="D516" t="s">
        <v>565</v>
      </c>
      <c r="E516">
        <v>11936128.82</v>
      </c>
      <c r="F516">
        <v>15169108.630000001</v>
      </c>
      <c r="G516">
        <v>725741.96</v>
      </c>
    </row>
    <row r="517" spans="1:7" x14ac:dyDescent="0.25">
      <c r="A517" s="1">
        <v>45292</v>
      </c>
      <c r="B517" t="s">
        <v>7</v>
      </c>
      <c r="C517" t="s">
        <v>554</v>
      </c>
      <c r="D517" t="s">
        <v>566</v>
      </c>
      <c r="E517">
        <v>10747731.449999999</v>
      </c>
      <c r="F517">
        <v>2344032.0699999998</v>
      </c>
      <c r="G517">
        <v>12928081.41</v>
      </c>
    </row>
    <row r="518" spans="1:7" x14ac:dyDescent="0.25">
      <c r="A518" s="1">
        <v>45627</v>
      </c>
      <c r="B518" t="s">
        <v>7</v>
      </c>
      <c r="C518" t="s">
        <v>567</v>
      </c>
      <c r="D518" t="s">
        <v>568</v>
      </c>
      <c r="E518">
        <v>13056769.18</v>
      </c>
      <c r="F518">
        <v>13781063.26</v>
      </c>
      <c r="G518">
        <v>2083010.92</v>
      </c>
    </row>
    <row r="519" spans="1:7" x14ac:dyDescent="0.25">
      <c r="A519" s="1">
        <v>45292</v>
      </c>
      <c r="B519" t="s">
        <v>7</v>
      </c>
      <c r="C519" t="s">
        <v>567</v>
      </c>
      <c r="D519" t="s">
        <v>569</v>
      </c>
      <c r="E519">
        <v>8277974</v>
      </c>
      <c r="F519">
        <v>1665196.07</v>
      </c>
      <c r="G519">
        <v>10958236.189999999</v>
      </c>
    </row>
    <row r="520" spans="1:7" x14ac:dyDescent="0.25">
      <c r="A520" s="1">
        <v>45536</v>
      </c>
      <c r="B520" t="s">
        <v>7</v>
      </c>
      <c r="C520" t="s">
        <v>567</v>
      </c>
      <c r="D520" t="s">
        <v>570</v>
      </c>
      <c r="E520">
        <v>10574956.289999999</v>
      </c>
      <c r="F520">
        <v>10230697.35</v>
      </c>
      <c r="G520">
        <v>442639.04</v>
      </c>
    </row>
    <row r="521" spans="1:7" x14ac:dyDescent="0.25">
      <c r="A521" s="1">
        <v>45413</v>
      </c>
      <c r="B521" t="s">
        <v>7</v>
      </c>
      <c r="C521" t="s">
        <v>567</v>
      </c>
      <c r="D521" t="s">
        <v>571</v>
      </c>
      <c r="E521">
        <v>10920145.699999999</v>
      </c>
      <c r="F521">
        <v>8911905.8100000005</v>
      </c>
      <c r="G521">
        <v>1406002.15</v>
      </c>
    </row>
    <row r="522" spans="1:7" x14ac:dyDescent="0.25">
      <c r="A522" s="1">
        <v>45323</v>
      </c>
      <c r="B522" t="s">
        <v>7</v>
      </c>
      <c r="C522" t="s">
        <v>567</v>
      </c>
      <c r="D522" t="s">
        <v>572</v>
      </c>
      <c r="E522">
        <v>7959623.8499999996</v>
      </c>
      <c r="F522">
        <v>8239153.9199999999</v>
      </c>
      <c r="G522">
        <v>2273136.48</v>
      </c>
    </row>
    <row r="523" spans="1:7" x14ac:dyDescent="0.25">
      <c r="A523" s="1">
        <v>45505</v>
      </c>
      <c r="B523" t="s">
        <v>7</v>
      </c>
      <c r="C523" t="s">
        <v>567</v>
      </c>
      <c r="D523" t="s">
        <v>573</v>
      </c>
      <c r="E523">
        <v>10569582.41</v>
      </c>
      <c r="F523">
        <v>10137422.720000001</v>
      </c>
      <c r="G523">
        <v>804762.68</v>
      </c>
    </row>
    <row r="524" spans="1:7" x14ac:dyDescent="0.25">
      <c r="A524" s="1">
        <v>45444</v>
      </c>
      <c r="B524" t="s">
        <v>7</v>
      </c>
      <c r="C524" t="s">
        <v>567</v>
      </c>
      <c r="D524" t="s">
        <v>574</v>
      </c>
      <c r="E524">
        <v>11893391.390000001</v>
      </c>
      <c r="F524">
        <v>11097670.65</v>
      </c>
      <c r="G524">
        <v>880726.63</v>
      </c>
    </row>
    <row r="525" spans="1:7" x14ac:dyDescent="0.25">
      <c r="A525" s="1">
        <v>45383</v>
      </c>
      <c r="B525" t="s">
        <v>7</v>
      </c>
      <c r="C525" t="s">
        <v>567</v>
      </c>
      <c r="D525" t="s">
        <v>575</v>
      </c>
      <c r="E525">
        <v>8658985.9499999993</v>
      </c>
      <c r="F525">
        <v>8064016.21</v>
      </c>
      <c r="G525">
        <v>2023119.3</v>
      </c>
    </row>
    <row r="526" spans="1:7" x14ac:dyDescent="0.25">
      <c r="A526" s="1">
        <v>45474</v>
      </c>
      <c r="B526" t="s">
        <v>7</v>
      </c>
      <c r="C526" t="s">
        <v>567</v>
      </c>
      <c r="D526" t="s">
        <v>576</v>
      </c>
      <c r="E526">
        <v>9205366.5</v>
      </c>
      <c r="F526">
        <v>11396566.15</v>
      </c>
      <c r="G526">
        <v>814140.69</v>
      </c>
    </row>
    <row r="527" spans="1:7" x14ac:dyDescent="0.25">
      <c r="A527" s="1">
        <v>45566</v>
      </c>
      <c r="B527" t="s">
        <v>7</v>
      </c>
      <c r="C527" t="s">
        <v>567</v>
      </c>
      <c r="D527" t="s">
        <v>577</v>
      </c>
      <c r="E527">
        <v>11063067.91</v>
      </c>
      <c r="F527">
        <v>11216920.050000001</v>
      </c>
      <c r="G527">
        <v>794669.69</v>
      </c>
    </row>
    <row r="528" spans="1:7" x14ac:dyDescent="0.25">
      <c r="A528" s="1">
        <v>45597</v>
      </c>
      <c r="B528" t="s">
        <v>7</v>
      </c>
      <c r="C528" t="s">
        <v>567</v>
      </c>
      <c r="D528" t="s">
        <v>578</v>
      </c>
      <c r="E528">
        <v>15737221.119999999</v>
      </c>
      <c r="F528">
        <v>12238694.9</v>
      </c>
      <c r="G528">
        <v>487780.37</v>
      </c>
    </row>
    <row r="529" spans="1:7" x14ac:dyDescent="0.25">
      <c r="A529" s="1">
        <v>45352</v>
      </c>
      <c r="B529" t="s">
        <v>7</v>
      </c>
      <c r="C529" t="s">
        <v>567</v>
      </c>
      <c r="D529" t="s">
        <v>579</v>
      </c>
      <c r="E529">
        <v>8065368.4699999997</v>
      </c>
      <c r="F529">
        <v>8006680.3200000003</v>
      </c>
      <c r="G529">
        <v>1895302.54</v>
      </c>
    </row>
    <row r="530" spans="1:7" x14ac:dyDescent="0.25">
      <c r="A530" s="1">
        <v>45292</v>
      </c>
      <c r="B530" t="s">
        <v>7</v>
      </c>
      <c r="C530" t="s">
        <v>580</v>
      </c>
      <c r="D530" t="s">
        <v>581</v>
      </c>
      <c r="E530">
        <v>31623282.309999999</v>
      </c>
      <c r="F530">
        <v>6527120.0899999999</v>
      </c>
      <c r="G530">
        <v>43129202.57</v>
      </c>
    </row>
    <row r="531" spans="1:7" x14ac:dyDescent="0.25">
      <c r="A531" s="1">
        <v>45474</v>
      </c>
      <c r="B531" t="s">
        <v>7</v>
      </c>
      <c r="C531" t="s">
        <v>580</v>
      </c>
      <c r="D531" t="s">
        <v>582</v>
      </c>
      <c r="E531">
        <v>46200556.840000004</v>
      </c>
      <c r="F531">
        <v>51906664.560000002</v>
      </c>
      <c r="G531">
        <v>2936775.23</v>
      </c>
    </row>
    <row r="532" spans="1:7" x14ac:dyDescent="0.25">
      <c r="A532" s="1">
        <v>45323</v>
      </c>
      <c r="B532" t="s">
        <v>7</v>
      </c>
      <c r="C532" t="s">
        <v>580</v>
      </c>
      <c r="D532" t="s">
        <v>583</v>
      </c>
      <c r="E532">
        <v>33044444.789999999</v>
      </c>
      <c r="F532">
        <v>27969860.359999999</v>
      </c>
      <c r="G532">
        <v>8066724.7699999996</v>
      </c>
    </row>
    <row r="533" spans="1:7" x14ac:dyDescent="0.25">
      <c r="A533" s="1">
        <v>45627</v>
      </c>
      <c r="B533" t="s">
        <v>7</v>
      </c>
      <c r="C533" t="s">
        <v>580</v>
      </c>
      <c r="D533" t="s">
        <v>584</v>
      </c>
      <c r="E533">
        <v>48308014.909999996</v>
      </c>
      <c r="F533">
        <v>51018838.109999999</v>
      </c>
      <c r="G533">
        <v>3460516.74</v>
      </c>
    </row>
    <row r="534" spans="1:7" x14ac:dyDescent="0.25">
      <c r="A534" s="1">
        <v>45352</v>
      </c>
      <c r="B534" t="s">
        <v>7</v>
      </c>
      <c r="C534" t="s">
        <v>580</v>
      </c>
      <c r="D534" t="s">
        <v>585</v>
      </c>
      <c r="E534">
        <v>34989021.670000002</v>
      </c>
      <c r="F534">
        <v>33958639.57</v>
      </c>
      <c r="G534">
        <v>10309123.09</v>
      </c>
    </row>
    <row r="535" spans="1:7" x14ac:dyDescent="0.25">
      <c r="A535" s="1">
        <v>45444</v>
      </c>
      <c r="B535" t="s">
        <v>7</v>
      </c>
      <c r="C535" t="s">
        <v>580</v>
      </c>
      <c r="D535" t="s">
        <v>586</v>
      </c>
      <c r="E535">
        <v>45150815.530000001</v>
      </c>
      <c r="F535">
        <v>38701375.539999999</v>
      </c>
      <c r="G535">
        <v>2790221.71</v>
      </c>
    </row>
    <row r="536" spans="1:7" x14ac:dyDescent="0.25">
      <c r="A536" s="1">
        <v>45536</v>
      </c>
      <c r="B536" t="s">
        <v>7</v>
      </c>
      <c r="C536" t="s">
        <v>580</v>
      </c>
      <c r="D536" t="s">
        <v>587</v>
      </c>
      <c r="E536">
        <v>37973797.539999999</v>
      </c>
      <c r="F536">
        <v>37508331.240000002</v>
      </c>
      <c r="G536">
        <v>2281307.64</v>
      </c>
    </row>
    <row r="537" spans="1:7" x14ac:dyDescent="0.25">
      <c r="A537" s="1">
        <v>45597</v>
      </c>
      <c r="B537" t="s">
        <v>7</v>
      </c>
      <c r="C537" t="s">
        <v>580</v>
      </c>
      <c r="D537" t="s">
        <v>588</v>
      </c>
      <c r="E537">
        <v>57914695.210000001</v>
      </c>
      <c r="F537">
        <v>46671395.920000002</v>
      </c>
      <c r="G537">
        <v>225362.15</v>
      </c>
    </row>
    <row r="538" spans="1:7" x14ac:dyDescent="0.25">
      <c r="A538" s="1">
        <v>45413</v>
      </c>
      <c r="B538" t="s">
        <v>7</v>
      </c>
      <c r="C538" t="s">
        <v>580</v>
      </c>
      <c r="D538" t="s">
        <v>589</v>
      </c>
      <c r="E538">
        <v>38814525.689999998</v>
      </c>
      <c r="F538">
        <v>36568949.030000001</v>
      </c>
      <c r="G538">
        <v>2772415.77</v>
      </c>
    </row>
    <row r="539" spans="1:7" x14ac:dyDescent="0.25">
      <c r="A539" s="1">
        <v>45383</v>
      </c>
      <c r="B539" t="s">
        <v>7</v>
      </c>
      <c r="C539" t="s">
        <v>580</v>
      </c>
      <c r="D539" t="s">
        <v>590</v>
      </c>
      <c r="E539">
        <v>36978468.5</v>
      </c>
      <c r="F539">
        <v>36265519.07</v>
      </c>
      <c r="G539">
        <v>4665018.26</v>
      </c>
    </row>
    <row r="540" spans="1:7" x14ac:dyDescent="0.25">
      <c r="A540" s="1">
        <v>45505</v>
      </c>
      <c r="B540" t="s">
        <v>7</v>
      </c>
      <c r="C540" t="s">
        <v>580</v>
      </c>
      <c r="D540" t="s">
        <v>591</v>
      </c>
      <c r="E540">
        <v>37940194.560000002</v>
      </c>
      <c r="F540">
        <v>38209898.75</v>
      </c>
      <c r="G540">
        <v>878406.42</v>
      </c>
    </row>
    <row r="541" spans="1:7" x14ac:dyDescent="0.25">
      <c r="A541" s="1">
        <v>45566</v>
      </c>
      <c r="B541" t="s">
        <v>7</v>
      </c>
      <c r="C541" t="s">
        <v>580</v>
      </c>
      <c r="D541" t="s">
        <v>592</v>
      </c>
      <c r="E541">
        <v>38549657.979999997</v>
      </c>
      <c r="F541">
        <v>38559290.399999999</v>
      </c>
      <c r="G541">
        <v>853800.66</v>
      </c>
    </row>
    <row r="542" spans="1:7" x14ac:dyDescent="0.25">
      <c r="A542" s="1">
        <v>45505</v>
      </c>
      <c r="B542" t="s">
        <v>7</v>
      </c>
      <c r="C542" t="s">
        <v>593</v>
      </c>
      <c r="D542" t="s">
        <v>594</v>
      </c>
      <c r="E542">
        <v>80486967.290000007</v>
      </c>
      <c r="F542">
        <v>76207574.739999995</v>
      </c>
      <c r="G542">
        <v>2507689.29</v>
      </c>
    </row>
    <row r="543" spans="1:7" x14ac:dyDescent="0.25">
      <c r="A543" s="1">
        <v>45566</v>
      </c>
      <c r="B543" t="s">
        <v>7</v>
      </c>
      <c r="C543" t="s">
        <v>593</v>
      </c>
      <c r="D543" t="s">
        <v>595</v>
      </c>
      <c r="E543">
        <v>80051032.400000006</v>
      </c>
      <c r="F543">
        <v>79166058.859999999</v>
      </c>
      <c r="G543">
        <v>2628003.94</v>
      </c>
    </row>
    <row r="544" spans="1:7" x14ac:dyDescent="0.25">
      <c r="A544" s="1">
        <v>45383</v>
      </c>
      <c r="B544" t="s">
        <v>7</v>
      </c>
      <c r="C544" t="s">
        <v>593</v>
      </c>
      <c r="D544" t="s">
        <v>596</v>
      </c>
      <c r="E544">
        <v>74286987.890000001</v>
      </c>
      <c r="F544">
        <v>73012519.379999995</v>
      </c>
      <c r="G544">
        <v>7051570.6100000003</v>
      </c>
    </row>
    <row r="545" spans="1:7" x14ac:dyDescent="0.25">
      <c r="A545" s="1">
        <v>45444</v>
      </c>
      <c r="B545" t="s">
        <v>7</v>
      </c>
      <c r="C545" t="s">
        <v>593</v>
      </c>
      <c r="D545" t="s">
        <v>597</v>
      </c>
      <c r="E545">
        <v>93201115.519999996</v>
      </c>
      <c r="F545">
        <v>77627890.530000001</v>
      </c>
      <c r="G545">
        <v>5806751.3499999996</v>
      </c>
    </row>
    <row r="546" spans="1:7" x14ac:dyDescent="0.25">
      <c r="A546" s="1">
        <v>45536</v>
      </c>
      <c r="B546" t="s">
        <v>7</v>
      </c>
      <c r="C546" t="s">
        <v>593</v>
      </c>
      <c r="D546" t="s">
        <v>598</v>
      </c>
      <c r="E546">
        <v>77913851.950000003</v>
      </c>
      <c r="F546">
        <v>81073075.269999996</v>
      </c>
      <c r="G546">
        <v>2559560.4300000002</v>
      </c>
    </row>
    <row r="547" spans="1:7" x14ac:dyDescent="0.25">
      <c r="A547" s="1">
        <v>45627</v>
      </c>
      <c r="B547" t="s">
        <v>7</v>
      </c>
      <c r="C547" t="s">
        <v>593</v>
      </c>
      <c r="D547" t="s">
        <v>599</v>
      </c>
      <c r="E547">
        <v>123681855.34999999</v>
      </c>
      <c r="F547">
        <v>106727474.52</v>
      </c>
      <c r="G547">
        <v>5516996.4299999997</v>
      </c>
    </row>
    <row r="548" spans="1:7" x14ac:dyDescent="0.25">
      <c r="A548" s="1">
        <v>45352</v>
      </c>
      <c r="B548" t="s">
        <v>7</v>
      </c>
      <c r="C548" t="s">
        <v>593</v>
      </c>
      <c r="D548" t="s">
        <v>600</v>
      </c>
      <c r="E548">
        <v>71353981.060000002</v>
      </c>
      <c r="F548">
        <v>70383731.439999998</v>
      </c>
      <c r="G548">
        <v>7385556.5099999998</v>
      </c>
    </row>
    <row r="549" spans="1:7" x14ac:dyDescent="0.25">
      <c r="A549" s="1">
        <v>45474</v>
      </c>
      <c r="B549" t="s">
        <v>7</v>
      </c>
      <c r="C549" t="s">
        <v>593</v>
      </c>
      <c r="D549" t="s">
        <v>601</v>
      </c>
      <c r="E549">
        <v>76428814.689999998</v>
      </c>
      <c r="F549">
        <v>95508318.359999999</v>
      </c>
      <c r="G549">
        <v>4262794.95</v>
      </c>
    </row>
    <row r="550" spans="1:7" x14ac:dyDescent="0.25">
      <c r="A550" s="1">
        <v>45413</v>
      </c>
      <c r="B550" t="s">
        <v>7</v>
      </c>
      <c r="C550" t="s">
        <v>593</v>
      </c>
      <c r="D550" t="s">
        <v>602</v>
      </c>
      <c r="E550">
        <v>81909242.329999998</v>
      </c>
      <c r="F550">
        <v>76247238.409999996</v>
      </c>
      <c r="G550">
        <v>18063808.530000001</v>
      </c>
    </row>
    <row r="551" spans="1:7" x14ac:dyDescent="0.25">
      <c r="A551" s="1">
        <v>45597</v>
      </c>
      <c r="B551" t="s">
        <v>7</v>
      </c>
      <c r="C551" t="s">
        <v>593</v>
      </c>
      <c r="D551" t="s">
        <v>603</v>
      </c>
      <c r="E551">
        <v>121930258.77</v>
      </c>
      <c r="F551">
        <v>96779904.370000005</v>
      </c>
      <c r="G551">
        <v>2351648.33</v>
      </c>
    </row>
    <row r="552" spans="1:7" x14ac:dyDescent="0.25">
      <c r="A552" s="1">
        <v>45323</v>
      </c>
      <c r="B552" t="s">
        <v>7</v>
      </c>
      <c r="C552" t="s">
        <v>593</v>
      </c>
      <c r="D552" t="s">
        <v>604</v>
      </c>
      <c r="E552">
        <v>68205783.379999995</v>
      </c>
      <c r="F552">
        <v>59690641.590000004</v>
      </c>
      <c r="G552">
        <v>15123608.710000001</v>
      </c>
    </row>
    <row r="553" spans="1:7" x14ac:dyDescent="0.25">
      <c r="A553" s="1">
        <v>45292</v>
      </c>
      <c r="B553" t="s">
        <v>7</v>
      </c>
      <c r="C553" t="s">
        <v>593</v>
      </c>
      <c r="D553" t="s">
        <v>605</v>
      </c>
      <c r="E553">
        <v>65526682.200000003</v>
      </c>
      <c r="F553">
        <v>14310345.68</v>
      </c>
      <c r="G553">
        <v>91997831.989999995</v>
      </c>
    </row>
    <row r="554" spans="1:7" x14ac:dyDescent="0.25">
      <c r="A554" s="1">
        <v>45474</v>
      </c>
      <c r="B554" t="s">
        <v>7</v>
      </c>
      <c r="C554" t="s">
        <v>606</v>
      </c>
      <c r="D554" t="s">
        <v>607</v>
      </c>
      <c r="E554">
        <v>72590109.280000001</v>
      </c>
      <c r="F554">
        <v>86974264.879999995</v>
      </c>
      <c r="G554">
        <v>3663275.54</v>
      </c>
    </row>
    <row r="555" spans="1:7" x14ac:dyDescent="0.25">
      <c r="A555" s="1">
        <v>45323</v>
      </c>
      <c r="B555" t="s">
        <v>7</v>
      </c>
      <c r="C555" t="s">
        <v>606</v>
      </c>
      <c r="D555" t="s">
        <v>608</v>
      </c>
      <c r="E555">
        <v>61758531.520000003</v>
      </c>
      <c r="F555">
        <v>54541475.289999999</v>
      </c>
      <c r="G555">
        <v>15749328.970000001</v>
      </c>
    </row>
    <row r="556" spans="1:7" x14ac:dyDescent="0.25">
      <c r="A556" s="1">
        <v>45413</v>
      </c>
      <c r="B556" t="s">
        <v>7</v>
      </c>
      <c r="C556" t="s">
        <v>606</v>
      </c>
      <c r="D556" t="s">
        <v>609</v>
      </c>
      <c r="E556">
        <v>75634219.579999998</v>
      </c>
      <c r="F556">
        <v>71155911.120000005</v>
      </c>
      <c r="G556">
        <v>6384087.5999999996</v>
      </c>
    </row>
    <row r="557" spans="1:7" x14ac:dyDescent="0.25">
      <c r="A557" s="1">
        <v>45444</v>
      </c>
      <c r="B557" t="s">
        <v>7</v>
      </c>
      <c r="C557" t="s">
        <v>606</v>
      </c>
      <c r="D557" t="s">
        <v>610</v>
      </c>
      <c r="E557">
        <v>88090687.890000001</v>
      </c>
      <c r="F557">
        <v>73167270.799999997</v>
      </c>
      <c r="G557">
        <v>2415943.19</v>
      </c>
    </row>
    <row r="558" spans="1:7" x14ac:dyDescent="0.25">
      <c r="A558" s="1">
        <v>45627</v>
      </c>
      <c r="B558" t="s">
        <v>7</v>
      </c>
      <c r="C558" t="s">
        <v>606</v>
      </c>
      <c r="D558" t="s">
        <v>611</v>
      </c>
      <c r="E558">
        <v>105040546.54000001</v>
      </c>
      <c r="F558">
        <v>113509810.7</v>
      </c>
      <c r="G558">
        <v>1441089.13</v>
      </c>
    </row>
    <row r="559" spans="1:7" x14ac:dyDescent="0.25">
      <c r="A559" s="1">
        <v>45352</v>
      </c>
      <c r="B559" t="s">
        <v>7</v>
      </c>
      <c r="C559" t="s">
        <v>606</v>
      </c>
      <c r="D559" t="s">
        <v>612</v>
      </c>
      <c r="E559">
        <v>66113027.280000001</v>
      </c>
      <c r="F559">
        <v>64216184.829999998</v>
      </c>
      <c r="G559">
        <v>12585084.310000001</v>
      </c>
    </row>
    <row r="560" spans="1:7" x14ac:dyDescent="0.25">
      <c r="A560" s="1">
        <v>45383</v>
      </c>
      <c r="B560" t="s">
        <v>7</v>
      </c>
      <c r="C560" t="s">
        <v>606</v>
      </c>
      <c r="D560" t="s">
        <v>613</v>
      </c>
      <c r="E560">
        <v>68029982.129999995</v>
      </c>
      <c r="F560">
        <v>65851174.670000002</v>
      </c>
      <c r="G560">
        <v>10151205.109999999</v>
      </c>
    </row>
    <row r="561" spans="1:7" x14ac:dyDescent="0.25">
      <c r="A561" s="1">
        <v>45505</v>
      </c>
      <c r="B561" t="s">
        <v>7</v>
      </c>
      <c r="C561" t="s">
        <v>606</v>
      </c>
      <c r="D561" t="s">
        <v>614</v>
      </c>
      <c r="E561">
        <v>79105261.569999993</v>
      </c>
      <c r="F561">
        <v>74237602.090000004</v>
      </c>
      <c r="G561">
        <v>1305082.3999999999</v>
      </c>
    </row>
    <row r="562" spans="1:7" x14ac:dyDescent="0.25">
      <c r="A562" s="1">
        <v>45566</v>
      </c>
      <c r="B562" t="s">
        <v>7</v>
      </c>
      <c r="C562" t="s">
        <v>606</v>
      </c>
      <c r="D562" t="s">
        <v>615</v>
      </c>
      <c r="E562">
        <v>75195979.019999996</v>
      </c>
      <c r="F562">
        <v>69151561.120000005</v>
      </c>
      <c r="G562">
        <v>355540.86</v>
      </c>
    </row>
    <row r="563" spans="1:7" x14ac:dyDescent="0.25">
      <c r="A563" s="1">
        <v>45536</v>
      </c>
      <c r="B563" t="s">
        <v>7</v>
      </c>
      <c r="C563" t="s">
        <v>606</v>
      </c>
      <c r="D563" t="s">
        <v>616</v>
      </c>
      <c r="E563">
        <v>70744837.379999995</v>
      </c>
      <c r="F563">
        <v>73486448.709999993</v>
      </c>
      <c r="G563">
        <v>662451.31000000006</v>
      </c>
    </row>
    <row r="564" spans="1:7" x14ac:dyDescent="0.25">
      <c r="A564" s="1">
        <v>45597</v>
      </c>
      <c r="B564" t="s">
        <v>7</v>
      </c>
      <c r="C564" t="s">
        <v>606</v>
      </c>
      <c r="D564" t="s">
        <v>617</v>
      </c>
      <c r="E564">
        <v>116651045.14</v>
      </c>
      <c r="F564">
        <v>84344375.040000007</v>
      </c>
      <c r="G564">
        <v>210280.42</v>
      </c>
    </row>
    <row r="565" spans="1:7" x14ac:dyDescent="0.25">
      <c r="A565" s="1">
        <v>45292</v>
      </c>
      <c r="B565" t="s">
        <v>7</v>
      </c>
      <c r="C565" t="s">
        <v>606</v>
      </c>
      <c r="D565" t="s">
        <v>618</v>
      </c>
      <c r="E565">
        <v>58530470.350000001</v>
      </c>
      <c r="F565">
        <v>12747117.73</v>
      </c>
      <c r="G565">
        <v>76969918.760000005</v>
      </c>
    </row>
    <row r="566" spans="1:7" x14ac:dyDescent="0.25">
      <c r="A566" s="1">
        <v>45627</v>
      </c>
      <c r="B566" t="s">
        <v>7</v>
      </c>
      <c r="C566" t="s">
        <v>619</v>
      </c>
      <c r="D566" t="s">
        <v>620</v>
      </c>
      <c r="E566">
        <v>121643706.19</v>
      </c>
      <c r="F566">
        <v>101724533.2</v>
      </c>
      <c r="G566">
        <v>6084930.96</v>
      </c>
    </row>
    <row r="567" spans="1:7" x14ac:dyDescent="0.25">
      <c r="A567" s="1">
        <v>45474</v>
      </c>
      <c r="B567" t="s">
        <v>7</v>
      </c>
      <c r="C567" t="s">
        <v>619</v>
      </c>
      <c r="D567" t="s">
        <v>621</v>
      </c>
      <c r="E567">
        <v>73582955.280000001</v>
      </c>
      <c r="F567">
        <v>89123901.480000004</v>
      </c>
      <c r="G567">
        <v>4356845.67</v>
      </c>
    </row>
    <row r="568" spans="1:7" x14ac:dyDescent="0.25">
      <c r="A568" s="1">
        <v>45444</v>
      </c>
      <c r="B568" t="s">
        <v>7</v>
      </c>
      <c r="C568" t="s">
        <v>619</v>
      </c>
      <c r="D568" t="s">
        <v>622</v>
      </c>
      <c r="E568">
        <v>83057167.5</v>
      </c>
      <c r="F568">
        <v>76112005.480000004</v>
      </c>
      <c r="G568">
        <v>4870584.8099999996</v>
      </c>
    </row>
    <row r="569" spans="1:7" x14ac:dyDescent="0.25">
      <c r="A569" s="1">
        <v>45413</v>
      </c>
      <c r="B569" t="s">
        <v>7</v>
      </c>
      <c r="C569" t="s">
        <v>619</v>
      </c>
      <c r="D569" t="s">
        <v>623</v>
      </c>
      <c r="E569">
        <v>74625153.150000006</v>
      </c>
      <c r="F569">
        <v>63410954.409999996</v>
      </c>
      <c r="G569">
        <v>8588547.1699999999</v>
      </c>
    </row>
    <row r="570" spans="1:7" x14ac:dyDescent="0.25">
      <c r="A570" s="1">
        <v>45597</v>
      </c>
      <c r="B570" t="s">
        <v>7</v>
      </c>
      <c r="C570" t="s">
        <v>619</v>
      </c>
      <c r="D570" t="s">
        <v>624</v>
      </c>
      <c r="E570">
        <v>97987969.290000007</v>
      </c>
      <c r="F570">
        <v>82446441.980000004</v>
      </c>
      <c r="G570">
        <v>594270.75</v>
      </c>
    </row>
    <row r="571" spans="1:7" x14ac:dyDescent="0.25">
      <c r="A571" s="1">
        <v>45323</v>
      </c>
      <c r="B571" t="s">
        <v>7</v>
      </c>
      <c r="C571" t="s">
        <v>619</v>
      </c>
      <c r="D571" t="s">
        <v>625</v>
      </c>
      <c r="E571">
        <v>55833082.630000003</v>
      </c>
      <c r="F571">
        <v>48135074.469999999</v>
      </c>
      <c r="G571">
        <v>23088457.699999999</v>
      </c>
    </row>
    <row r="572" spans="1:7" x14ac:dyDescent="0.25">
      <c r="A572" s="1">
        <v>45383</v>
      </c>
      <c r="B572" t="s">
        <v>7</v>
      </c>
      <c r="C572" t="s">
        <v>619</v>
      </c>
      <c r="D572" t="s">
        <v>626</v>
      </c>
      <c r="E572">
        <v>63499664.93</v>
      </c>
      <c r="F572">
        <v>62416920.460000001</v>
      </c>
      <c r="G572">
        <v>8833315.5700000003</v>
      </c>
    </row>
    <row r="573" spans="1:7" x14ac:dyDescent="0.25">
      <c r="A573" s="1">
        <v>45566</v>
      </c>
      <c r="B573" t="s">
        <v>7</v>
      </c>
      <c r="C573" t="s">
        <v>619</v>
      </c>
      <c r="D573" t="s">
        <v>627</v>
      </c>
      <c r="E573">
        <v>77775563.430000007</v>
      </c>
      <c r="F573">
        <v>75718015.780000001</v>
      </c>
      <c r="G573">
        <v>2072979.96</v>
      </c>
    </row>
    <row r="574" spans="1:7" x14ac:dyDescent="0.25">
      <c r="A574" s="1">
        <v>45536</v>
      </c>
      <c r="B574" t="s">
        <v>7</v>
      </c>
      <c r="C574" t="s">
        <v>619</v>
      </c>
      <c r="D574" t="s">
        <v>628</v>
      </c>
      <c r="E574">
        <v>74814683.409999996</v>
      </c>
      <c r="F574">
        <v>74164804.540000007</v>
      </c>
      <c r="G574">
        <v>2490620.62</v>
      </c>
    </row>
    <row r="575" spans="1:7" x14ac:dyDescent="0.25">
      <c r="A575" s="1">
        <v>45505</v>
      </c>
      <c r="B575" t="s">
        <v>7</v>
      </c>
      <c r="C575" t="s">
        <v>619</v>
      </c>
      <c r="D575" t="s">
        <v>629</v>
      </c>
      <c r="E575">
        <v>74208215.689999998</v>
      </c>
      <c r="F575">
        <v>67573835.950000003</v>
      </c>
      <c r="G575">
        <v>1750469.56</v>
      </c>
    </row>
    <row r="576" spans="1:7" x14ac:dyDescent="0.25">
      <c r="A576" s="1">
        <v>45352</v>
      </c>
      <c r="B576" t="s">
        <v>7</v>
      </c>
      <c r="C576" t="s">
        <v>619</v>
      </c>
      <c r="D576" t="s">
        <v>630</v>
      </c>
      <c r="E576">
        <v>60090922.969999999</v>
      </c>
      <c r="F576">
        <v>59129970.109999999</v>
      </c>
      <c r="G576">
        <v>24181043.390000001</v>
      </c>
    </row>
    <row r="577" spans="1:7" x14ac:dyDescent="0.25">
      <c r="A577" s="1">
        <v>45292</v>
      </c>
      <c r="B577" t="s">
        <v>7</v>
      </c>
      <c r="C577" t="s">
        <v>619</v>
      </c>
      <c r="D577" t="s">
        <v>631</v>
      </c>
      <c r="E577">
        <v>54107682.740000002</v>
      </c>
      <c r="F577">
        <v>11870352.84</v>
      </c>
      <c r="G577">
        <v>81797192.25</v>
      </c>
    </row>
    <row r="578" spans="1:7" x14ac:dyDescent="0.25">
      <c r="A578" s="1">
        <v>45536</v>
      </c>
      <c r="B578" t="s">
        <v>7</v>
      </c>
      <c r="C578" t="s">
        <v>632</v>
      </c>
      <c r="D578" t="s">
        <v>633</v>
      </c>
      <c r="E578">
        <v>49509688.579999998</v>
      </c>
      <c r="F578">
        <v>48895317.450000003</v>
      </c>
      <c r="G578">
        <v>1185439.97</v>
      </c>
    </row>
    <row r="579" spans="1:7" x14ac:dyDescent="0.25">
      <c r="A579" s="1">
        <v>45474</v>
      </c>
      <c r="B579" t="s">
        <v>7</v>
      </c>
      <c r="C579" t="s">
        <v>632</v>
      </c>
      <c r="D579" t="s">
        <v>634</v>
      </c>
      <c r="E579">
        <v>47070538.079999998</v>
      </c>
      <c r="F579">
        <v>56575897.850000001</v>
      </c>
      <c r="G579">
        <v>2169957.9</v>
      </c>
    </row>
    <row r="580" spans="1:7" x14ac:dyDescent="0.25">
      <c r="A580" s="1">
        <v>45352</v>
      </c>
      <c r="B580" t="s">
        <v>7</v>
      </c>
      <c r="C580" t="s">
        <v>632</v>
      </c>
      <c r="D580" t="s">
        <v>635</v>
      </c>
      <c r="E580">
        <v>41812161.32</v>
      </c>
      <c r="F580">
        <v>41729616.670000002</v>
      </c>
      <c r="G580">
        <v>12087043.470000001</v>
      </c>
    </row>
    <row r="581" spans="1:7" x14ac:dyDescent="0.25">
      <c r="A581" s="1">
        <v>45383</v>
      </c>
      <c r="B581" t="s">
        <v>7</v>
      </c>
      <c r="C581" t="s">
        <v>632</v>
      </c>
      <c r="D581" t="s">
        <v>636</v>
      </c>
      <c r="E581">
        <v>44870236.490000002</v>
      </c>
      <c r="F581">
        <v>43040846.310000002</v>
      </c>
      <c r="G581">
        <v>10894866.02</v>
      </c>
    </row>
    <row r="582" spans="1:7" x14ac:dyDescent="0.25">
      <c r="A582" s="1">
        <v>45505</v>
      </c>
      <c r="B582" t="s">
        <v>7</v>
      </c>
      <c r="C582" t="s">
        <v>632</v>
      </c>
      <c r="D582" t="s">
        <v>637</v>
      </c>
      <c r="E582">
        <v>52164240.600000001</v>
      </c>
      <c r="F582">
        <v>48179295.969999999</v>
      </c>
      <c r="G582">
        <v>1646404.68</v>
      </c>
    </row>
    <row r="583" spans="1:7" x14ac:dyDescent="0.25">
      <c r="A583" s="1">
        <v>45413</v>
      </c>
      <c r="B583" t="s">
        <v>7</v>
      </c>
      <c r="C583" t="s">
        <v>632</v>
      </c>
      <c r="D583" t="s">
        <v>638</v>
      </c>
      <c r="E583">
        <v>47334971.170000002</v>
      </c>
      <c r="F583">
        <v>44976956.630000003</v>
      </c>
      <c r="G583">
        <v>5707302.5999999996</v>
      </c>
    </row>
    <row r="584" spans="1:7" x14ac:dyDescent="0.25">
      <c r="A584" s="1">
        <v>45444</v>
      </c>
      <c r="B584" t="s">
        <v>7</v>
      </c>
      <c r="C584" t="s">
        <v>632</v>
      </c>
      <c r="D584" t="s">
        <v>639</v>
      </c>
      <c r="E584">
        <v>59887124.740000002</v>
      </c>
      <c r="F584">
        <v>50722174.369999997</v>
      </c>
      <c r="G584">
        <v>1907189.97</v>
      </c>
    </row>
    <row r="585" spans="1:7" x14ac:dyDescent="0.25">
      <c r="A585" s="1">
        <v>45323</v>
      </c>
      <c r="B585" t="s">
        <v>7</v>
      </c>
      <c r="C585" t="s">
        <v>632</v>
      </c>
      <c r="D585" t="s">
        <v>640</v>
      </c>
      <c r="E585">
        <v>41228247.700000003</v>
      </c>
      <c r="F585">
        <v>35790710.5</v>
      </c>
      <c r="G585">
        <v>8577248.5399999991</v>
      </c>
    </row>
    <row r="586" spans="1:7" x14ac:dyDescent="0.25">
      <c r="A586" s="1">
        <v>45627</v>
      </c>
      <c r="B586" t="s">
        <v>7</v>
      </c>
      <c r="C586" t="s">
        <v>632</v>
      </c>
      <c r="D586" t="s">
        <v>641</v>
      </c>
      <c r="E586">
        <v>67427430.219999999</v>
      </c>
      <c r="F586">
        <v>76914679.620000005</v>
      </c>
      <c r="G586">
        <v>3962494.18</v>
      </c>
    </row>
    <row r="587" spans="1:7" x14ac:dyDescent="0.25">
      <c r="A587" s="1">
        <v>45566</v>
      </c>
      <c r="B587" t="s">
        <v>7</v>
      </c>
      <c r="C587" t="s">
        <v>632</v>
      </c>
      <c r="D587" t="s">
        <v>642</v>
      </c>
      <c r="E587">
        <v>51471322.060000002</v>
      </c>
      <c r="F587">
        <v>50793038.939999998</v>
      </c>
      <c r="G587">
        <v>508815.57</v>
      </c>
    </row>
    <row r="588" spans="1:7" x14ac:dyDescent="0.25">
      <c r="A588" s="1">
        <v>45597</v>
      </c>
      <c r="B588" t="s">
        <v>7</v>
      </c>
      <c r="C588" t="s">
        <v>632</v>
      </c>
      <c r="D588" t="s">
        <v>643</v>
      </c>
      <c r="E588">
        <v>70738699.159999996</v>
      </c>
      <c r="F588">
        <v>47320358.049999997</v>
      </c>
      <c r="G588">
        <v>1070033.79</v>
      </c>
    </row>
    <row r="589" spans="1:7" x14ac:dyDescent="0.25">
      <c r="A589" s="1">
        <v>45292</v>
      </c>
      <c r="B589" t="s">
        <v>7</v>
      </c>
      <c r="C589" t="s">
        <v>632</v>
      </c>
      <c r="D589" t="s">
        <v>644</v>
      </c>
      <c r="E589">
        <v>39057521.109999999</v>
      </c>
      <c r="F589">
        <v>8695693.6999999993</v>
      </c>
      <c r="G589">
        <v>54503091.759999998</v>
      </c>
    </row>
    <row r="590" spans="1:7" x14ac:dyDescent="0.25">
      <c r="A590" s="1">
        <v>45383</v>
      </c>
      <c r="B590" t="s">
        <v>7</v>
      </c>
      <c r="C590" t="s">
        <v>645</v>
      </c>
      <c r="D590" t="s">
        <v>646</v>
      </c>
      <c r="E590">
        <v>20757748.100000001</v>
      </c>
      <c r="F590">
        <v>20536180.059999999</v>
      </c>
      <c r="G590">
        <v>2797974.53</v>
      </c>
    </row>
    <row r="591" spans="1:7" x14ac:dyDescent="0.25">
      <c r="A591" s="1">
        <v>45505</v>
      </c>
      <c r="B591" t="s">
        <v>7</v>
      </c>
      <c r="C591" t="s">
        <v>645</v>
      </c>
      <c r="D591" t="s">
        <v>647</v>
      </c>
      <c r="E591">
        <v>21687756.93</v>
      </c>
      <c r="F591">
        <v>21931559.449999999</v>
      </c>
      <c r="G591">
        <v>528732.30000000005</v>
      </c>
    </row>
    <row r="592" spans="1:7" x14ac:dyDescent="0.25">
      <c r="A592" s="1">
        <v>45536</v>
      </c>
      <c r="B592" t="s">
        <v>7</v>
      </c>
      <c r="C592" t="s">
        <v>645</v>
      </c>
      <c r="D592" t="s">
        <v>648</v>
      </c>
      <c r="E592">
        <v>22293624.73</v>
      </c>
      <c r="F592">
        <v>21612147.140000001</v>
      </c>
      <c r="G592">
        <v>335631.49</v>
      </c>
    </row>
    <row r="593" spans="1:7" x14ac:dyDescent="0.25">
      <c r="A593" s="1">
        <v>45627</v>
      </c>
      <c r="B593" t="s">
        <v>7</v>
      </c>
      <c r="C593" t="s">
        <v>645</v>
      </c>
      <c r="D593" t="s">
        <v>649</v>
      </c>
      <c r="E593">
        <v>31484322.870000001</v>
      </c>
      <c r="F593">
        <v>35462159.810000002</v>
      </c>
      <c r="G593">
        <v>2801049.45</v>
      </c>
    </row>
    <row r="594" spans="1:7" x14ac:dyDescent="0.25">
      <c r="A594" s="1">
        <v>45474</v>
      </c>
      <c r="B594" t="s">
        <v>7</v>
      </c>
      <c r="C594" t="s">
        <v>645</v>
      </c>
      <c r="D594" t="s">
        <v>650</v>
      </c>
      <c r="E594">
        <v>21847483.359999999</v>
      </c>
      <c r="F594">
        <v>29225334.579999998</v>
      </c>
      <c r="G594">
        <v>1273171.3400000001</v>
      </c>
    </row>
    <row r="595" spans="1:7" x14ac:dyDescent="0.25">
      <c r="A595" s="1">
        <v>45444</v>
      </c>
      <c r="B595" t="s">
        <v>7</v>
      </c>
      <c r="C595" t="s">
        <v>645</v>
      </c>
      <c r="D595" t="s">
        <v>651</v>
      </c>
      <c r="E595">
        <v>28489065.059999999</v>
      </c>
      <c r="F595">
        <v>21729916.300000001</v>
      </c>
      <c r="G595">
        <v>1073924.74</v>
      </c>
    </row>
    <row r="596" spans="1:7" x14ac:dyDescent="0.25">
      <c r="A596" s="1">
        <v>45413</v>
      </c>
      <c r="B596" t="s">
        <v>7</v>
      </c>
      <c r="C596" t="s">
        <v>645</v>
      </c>
      <c r="D596" t="s">
        <v>652</v>
      </c>
      <c r="E596">
        <v>22865678.289999999</v>
      </c>
      <c r="F596">
        <v>21204795.559999999</v>
      </c>
      <c r="G596">
        <v>1919930.69</v>
      </c>
    </row>
    <row r="597" spans="1:7" x14ac:dyDescent="0.25">
      <c r="A597" s="1">
        <v>45352</v>
      </c>
      <c r="B597" t="s">
        <v>7</v>
      </c>
      <c r="C597" t="s">
        <v>645</v>
      </c>
      <c r="D597" t="s">
        <v>653</v>
      </c>
      <c r="E597">
        <v>20388974.52</v>
      </c>
      <c r="F597">
        <v>19616368.66</v>
      </c>
      <c r="G597">
        <v>4339195.92</v>
      </c>
    </row>
    <row r="598" spans="1:7" x14ac:dyDescent="0.25">
      <c r="A598" s="1">
        <v>45292</v>
      </c>
      <c r="B598" t="s">
        <v>7</v>
      </c>
      <c r="C598" t="s">
        <v>645</v>
      </c>
      <c r="D598" t="s">
        <v>654</v>
      </c>
      <c r="E598">
        <v>17472443.239999998</v>
      </c>
      <c r="F598">
        <v>3686202.33</v>
      </c>
      <c r="G598">
        <v>23221156.73</v>
      </c>
    </row>
    <row r="599" spans="1:7" x14ac:dyDescent="0.25">
      <c r="A599" s="1">
        <v>45566</v>
      </c>
      <c r="B599" t="s">
        <v>7</v>
      </c>
      <c r="C599" t="s">
        <v>645</v>
      </c>
      <c r="D599" t="s">
        <v>655</v>
      </c>
      <c r="E599">
        <v>22580846.34</v>
      </c>
      <c r="F599">
        <v>21971318.890000001</v>
      </c>
      <c r="G599">
        <v>295105.78999999998</v>
      </c>
    </row>
    <row r="600" spans="1:7" x14ac:dyDescent="0.25">
      <c r="A600" s="1">
        <v>45597</v>
      </c>
      <c r="B600" t="s">
        <v>7</v>
      </c>
      <c r="C600" t="s">
        <v>645</v>
      </c>
      <c r="D600" t="s">
        <v>656</v>
      </c>
      <c r="E600">
        <v>35053687.359999999</v>
      </c>
      <c r="F600">
        <v>27389395.710000001</v>
      </c>
      <c r="G600">
        <v>97850.47</v>
      </c>
    </row>
    <row r="601" spans="1:7" x14ac:dyDescent="0.25">
      <c r="A601" s="1">
        <v>45323</v>
      </c>
      <c r="B601" t="s">
        <v>7</v>
      </c>
      <c r="C601" t="s">
        <v>645</v>
      </c>
      <c r="D601" t="s">
        <v>657</v>
      </c>
      <c r="E601">
        <v>18227328.760000002</v>
      </c>
      <c r="F601">
        <v>15931773.82</v>
      </c>
      <c r="G601">
        <v>5654834.8200000003</v>
      </c>
    </row>
    <row r="602" spans="1:7" x14ac:dyDescent="0.25">
      <c r="A602" s="1">
        <v>45413</v>
      </c>
      <c r="B602" t="s">
        <v>7</v>
      </c>
      <c r="C602" t="s">
        <v>658</v>
      </c>
      <c r="D602" t="s">
        <v>659</v>
      </c>
      <c r="E602">
        <v>28134175.379999999</v>
      </c>
      <c r="F602">
        <v>26101214.75</v>
      </c>
      <c r="G602">
        <v>1674215.26</v>
      </c>
    </row>
    <row r="603" spans="1:7" x14ac:dyDescent="0.25">
      <c r="A603" s="1">
        <v>45536</v>
      </c>
      <c r="B603" t="s">
        <v>7</v>
      </c>
      <c r="C603" t="s">
        <v>658</v>
      </c>
      <c r="D603" t="s">
        <v>660</v>
      </c>
      <c r="E603">
        <v>28346803.309999999</v>
      </c>
      <c r="F603">
        <v>27314184.710000001</v>
      </c>
      <c r="G603">
        <v>799166.8</v>
      </c>
    </row>
    <row r="604" spans="1:7" x14ac:dyDescent="0.25">
      <c r="A604" s="1">
        <v>45383</v>
      </c>
      <c r="B604" t="s">
        <v>7</v>
      </c>
      <c r="C604" t="s">
        <v>658</v>
      </c>
      <c r="D604" t="s">
        <v>661</v>
      </c>
      <c r="E604">
        <v>25880830.649999999</v>
      </c>
      <c r="F604">
        <v>25871874.07</v>
      </c>
      <c r="G604">
        <v>1772390.41</v>
      </c>
    </row>
    <row r="605" spans="1:7" x14ac:dyDescent="0.25">
      <c r="A605" s="1">
        <v>45352</v>
      </c>
      <c r="B605" t="s">
        <v>7</v>
      </c>
      <c r="C605" t="s">
        <v>658</v>
      </c>
      <c r="D605" t="s">
        <v>662</v>
      </c>
      <c r="E605">
        <v>25268475.579999998</v>
      </c>
      <c r="F605">
        <v>25556701</v>
      </c>
      <c r="G605">
        <v>3867433.07</v>
      </c>
    </row>
    <row r="606" spans="1:7" x14ac:dyDescent="0.25">
      <c r="A606" s="1">
        <v>45474</v>
      </c>
      <c r="B606" t="s">
        <v>7</v>
      </c>
      <c r="C606" t="s">
        <v>658</v>
      </c>
      <c r="D606" t="s">
        <v>663</v>
      </c>
      <c r="E606">
        <v>26680081.57</v>
      </c>
      <c r="F606">
        <v>32183580.129999999</v>
      </c>
      <c r="G606">
        <v>1165110.5900000001</v>
      </c>
    </row>
    <row r="607" spans="1:7" x14ac:dyDescent="0.25">
      <c r="A607" s="1">
        <v>45292</v>
      </c>
      <c r="B607" t="s">
        <v>7</v>
      </c>
      <c r="C607" t="s">
        <v>658</v>
      </c>
      <c r="D607" t="s">
        <v>664</v>
      </c>
      <c r="E607">
        <v>23732812.329999998</v>
      </c>
      <c r="F607">
        <v>4758287.6100000003</v>
      </c>
      <c r="G607">
        <v>30300347.41</v>
      </c>
    </row>
    <row r="608" spans="1:7" x14ac:dyDescent="0.25">
      <c r="A608" s="1">
        <v>45627</v>
      </c>
      <c r="B608" t="s">
        <v>7</v>
      </c>
      <c r="C608" t="s">
        <v>658</v>
      </c>
      <c r="D608" t="s">
        <v>665</v>
      </c>
      <c r="E608">
        <v>39459411.630000003</v>
      </c>
      <c r="F608">
        <v>40800438.009999998</v>
      </c>
      <c r="G608">
        <v>1407057.32</v>
      </c>
    </row>
    <row r="609" spans="1:7" x14ac:dyDescent="0.25">
      <c r="A609" s="1">
        <v>45444</v>
      </c>
      <c r="B609" t="s">
        <v>7</v>
      </c>
      <c r="C609" t="s">
        <v>658</v>
      </c>
      <c r="D609" t="s">
        <v>666</v>
      </c>
      <c r="E609">
        <v>31581989.129999999</v>
      </c>
      <c r="F609">
        <v>27601542.699999999</v>
      </c>
      <c r="G609">
        <v>1782605.18</v>
      </c>
    </row>
    <row r="610" spans="1:7" x14ac:dyDescent="0.25">
      <c r="A610" s="1">
        <v>45505</v>
      </c>
      <c r="B610" t="s">
        <v>7</v>
      </c>
      <c r="C610" t="s">
        <v>658</v>
      </c>
      <c r="D610" t="s">
        <v>667</v>
      </c>
      <c r="E610">
        <v>27563317.43</v>
      </c>
      <c r="F610">
        <v>26553133.280000001</v>
      </c>
      <c r="G610">
        <v>1254979.04</v>
      </c>
    </row>
    <row r="611" spans="1:7" x14ac:dyDescent="0.25">
      <c r="A611" s="1">
        <v>45566</v>
      </c>
      <c r="B611" t="s">
        <v>7</v>
      </c>
      <c r="C611" t="s">
        <v>658</v>
      </c>
      <c r="D611" t="s">
        <v>668</v>
      </c>
      <c r="E611">
        <v>31663766.57</v>
      </c>
      <c r="F611">
        <v>33012607.41</v>
      </c>
      <c r="G611">
        <v>561606.39</v>
      </c>
    </row>
    <row r="612" spans="1:7" x14ac:dyDescent="0.25">
      <c r="A612" s="1">
        <v>45597</v>
      </c>
      <c r="B612" t="s">
        <v>7</v>
      </c>
      <c r="C612" t="s">
        <v>658</v>
      </c>
      <c r="D612" t="s">
        <v>669</v>
      </c>
      <c r="E612">
        <v>41083781.130000003</v>
      </c>
      <c r="F612">
        <v>33044425.699999999</v>
      </c>
      <c r="G612">
        <v>749176.2</v>
      </c>
    </row>
    <row r="613" spans="1:7" x14ac:dyDescent="0.25">
      <c r="A613" s="1">
        <v>45323</v>
      </c>
      <c r="B613" t="s">
        <v>7</v>
      </c>
      <c r="C613" t="s">
        <v>658</v>
      </c>
      <c r="D613" t="s">
        <v>670</v>
      </c>
      <c r="E613">
        <v>24656182.309999999</v>
      </c>
      <c r="F613">
        <v>24526468.09</v>
      </c>
      <c r="G613">
        <v>3045858.09</v>
      </c>
    </row>
    <row r="614" spans="1:7" x14ac:dyDescent="0.25">
      <c r="A614" s="1">
        <v>45474</v>
      </c>
      <c r="B614" t="s">
        <v>7</v>
      </c>
      <c r="C614" t="s">
        <v>671</v>
      </c>
      <c r="D614" t="s">
        <v>672</v>
      </c>
      <c r="E614">
        <v>49500297.810000002</v>
      </c>
      <c r="F614">
        <v>62001145.539999999</v>
      </c>
      <c r="G614">
        <v>1645303.4</v>
      </c>
    </row>
    <row r="615" spans="1:7" x14ac:dyDescent="0.25">
      <c r="A615" s="1">
        <v>45505</v>
      </c>
      <c r="B615" t="s">
        <v>7</v>
      </c>
      <c r="C615" t="s">
        <v>671</v>
      </c>
      <c r="D615" t="s">
        <v>673</v>
      </c>
      <c r="E615">
        <v>50316287.82</v>
      </c>
      <c r="F615">
        <v>50739352.710000001</v>
      </c>
      <c r="G615">
        <v>974684.16000000003</v>
      </c>
    </row>
    <row r="616" spans="1:7" x14ac:dyDescent="0.25">
      <c r="A616" s="1">
        <v>45566</v>
      </c>
      <c r="B616" t="s">
        <v>7</v>
      </c>
      <c r="C616" t="s">
        <v>671</v>
      </c>
      <c r="D616" t="s">
        <v>674</v>
      </c>
      <c r="E616">
        <v>50548231.609999999</v>
      </c>
      <c r="F616">
        <v>50578764.609999999</v>
      </c>
      <c r="G616">
        <v>820525.09</v>
      </c>
    </row>
    <row r="617" spans="1:7" x14ac:dyDescent="0.25">
      <c r="A617" s="1">
        <v>45383</v>
      </c>
      <c r="B617" t="s">
        <v>7</v>
      </c>
      <c r="C617" t="s">
        <v>671</v>
      </c>
      <c r="D617" t="s">
        <v>675</v>
      </c>
      <c r="E617">
        <v>48708233.390000001</v>
      </c>
      <c r="F617">
        <v>43324578.170000002</v>
      </c>
      <c r="G617">
        <v>2494816.8199999998</v>
      </c>
    </row>
    <row r="618" spans="1:7" x14ac:dyDescent="0.25">
      <c r="A618" s="1">
        <v>45323</v>
      </c>
      <c r="B618" t="s">
        <v>7</v>
      </c>
      <c r="C618" t="s">
        <v>671</v>
      </c>
      <c r="D618" t="s">
        <v>676</v>
      </c>
      <c r="E618">
        <v>45612598.009999998</v>
      </c>
      <c r="F618">
        <v>46117342.579999998</v>
      </c>
      <c r="G618">
        <v>2182159.63</v>
      </c>
    </row>
    <row r="619" spans="1:7" x14ac:dyDescent="0.25">
      <c r="A619" s="1">
        <v>45352</v>
      </c>
      <c r="B619" t="s">
        <v>7</v>
      </c>
      <c r="C619" t="s">
        <v>671</v>
      </c>
      <c r="D619" t="s">
        <v>677</v>
      </c>
      <c r="E619">
        <v>47657283.899999999</v>
      </c>
      <c r="F619">
        <v>47296357.119999997</v>
      </c>
      <c r="G619">
        <v>7167339.75</v>
      </c>
    </row>
    <row r="620" spans="1:7" x14ac:dyDescent="0.25">
      <c r="A620" s="1">
        <v>45536</v>
      </c>
      <c r="B620" t="s">
        <v>7</v>
      </c>
      <c r="C620" t="s">
        <v>671</v>
      </c>
      <c r="D620" t="s">
        <v>678</v>
      </c>
      <c r="E620">
        <v>52048360.549999997</v>
      </c>
      <c r="F620">
        <v>51035684.219999999</v>
      </c>
      <c r="G620">
        <v>1370216.63</v>
      </c>
    </row>
    <row r="621" spans="1:7" x14ac:dyDescent="0.25">
      <c r="A621" s="1">
        <v>45627</v>
      </c>
      <c r="B621" t="s">
        <v>7</v>
      </c>
      <c r="C621" t="s">
        <v>671</v>
      </c>
      <c r="D621" t="s">
        <v>679</v>
      </c>
      <c r="E621">
        <v>57962307.07</v>
      </c>
      <c r="F621">
        <v>60895061.240000002</v>
      </c>
      <c r="G621">
        <v>2858599.04</v>
      </c>
    </row>
    <row r="622" spans="1:7" x14ac:dyDescent="0.25">
      <c r="A622" s="1">
        <v>45413</v>
      </c>
      <c r="B622" t="s">
        <v>7</v>
      </c>
      <c r="C622" t="s">
        <v>671</v>
      </c>
      <c r="D622" t="s">
        <v>680</v>
      </c>
      <c r="E622">
        <v>52305362.490000002</v>
      </c>
      <c r="F622">
        <v>53545865.100000001</v>
      </c>
      <c r="G622">
        <v>3295125.32</v>
      </c>
    </row>
    <row r="623" spans="1:7" x14ac:dyDescent="0.25">
      <c r="A623" s="1">
        <v>45444</v>
      </c>
      <c r="B623" t="s">
        <v>7</v>
      </c>
      <c r="C623" t="s">
        <v>671</v>
      </c>
      <c r="D623" t="s">
        <v>681</v>
      </c>
      <c r="E623">
        <v>62494250.060000002</v>
      </c>
      <c r="F623">
        <v>51863707.450000003</v>
      </c>
      <c r="G623">
        <v>3582390.13</v>
      </c>
    </row>
    <row r="624" spans="1:7" x14ac:dyDescent="0.25">
      <c r="A624" s="1">
        <v>45597</v>
      </c>
      <c r="B624" t="s">
        <v>7</v>
      </c>
      <c r="C624" t="s">
        <v>671</v>
      </c>
      <c r="D624" t="s">
        <v>682</v>
      </c>
      <c r="E624">
        <v>80415745.069999993</v>
      </c>
      <c r="F624">
        <v>62173757.170000002</v>
      </c>
      <c r="G624">
        <v>649273.09</v>
      </c>
    </row>
    <row r="625" spans="1:7" x14ac:dyDescent="0.25">
      <c r="A625" s="1">
        <v>45292</v>
      </c>
      <c r="B625" t="s">
        <v>7</v>
      </c>
      <c r="C625" t="s">
        <v>671</v>
      </c>
      <c r="D625" t="s">
        <v>683</v>
      </c>
      <c r="E625">
        <v>44001335.799999997</v>
      </c>
      <c r="F625">
        <v>9755116.9800000004</v>
      </c>
      <c r="G625">
        <v>50833892.539999999</v>
      </c>
    </row>
    <row r="626" spans="1:7" x14ac:dyDescent="0.25">
      <c r="A626" s="1">
        <v>45474</v>
      </c>
      <c r="B626" t="s">
        <v>7</v>
      </c>
      <c r="C626" t="s">
        <v>684</v>
      </c>
      <c r="D626" t="s">
        <v>685</v>
      </c>
      <c r="E626">
        <v>49821606.520000003</v>
      </c>
      <c r="F626">
        <v>58710261.880000003</v>
      </c>
      <c r="G626">
        <v>813858.29</v>
      </c>
    </row>
    <row r="627" spans="1:7" x14ac:dyDescent="0.25">
      <c r="A627" s="1">
        <v>45566</v>
      </c>
      <c r="B627" t="s">
        <v>7</v>
      </c>
      <c r="C627" t="s">
        <v>684</v>
      </c>
      <c r="D627" t="s">
        <v>686</v>
      </c>
      <c r="E627">
        <v>52634371.950000003</v>
      </c>
      <c r="F627">
        <v>51393507.530000001</v>
      </c>
      <c r="G627">
        <v>487935.72</v>
      </c>
    </row>
    <row r="628" spans="1:7" x14ac:dyDescent="0.25">
      <c r="A628" s="1">
        <v>45597</v>
      </c>
      <c r="B628" t="s">
        <v>7</v>
      </c>
      <c r="C628" t="s">
        <v>684</v>
      </c>
      <c r="D628" t="s">
        <v>687</v>
      </c>
      <c r="E628">
        <v>77276895.209999993</v>
      </c>
      <c r="F628">
        <v>59223336.75</v>
      </c>
      <c r="G628">
        <v>215482.75</v>
      </c>
    </row>
    <row r="629" spans="1:7" x14ac:dyDescent="0.25">
      <c r="A629" s="1">
        <v>45536</v>
      </c>
      <c r="B629" t="s">
        <v>7</v>
      </c>
      <c r="C629" t="s">
        <v>684</v>
      </c>
      <c r="D629" t="s">
        <v>688</v>
      </c>
      <c r="E629">
        <v>49467958.079999998</v>
      </c>
      <c r="F629">
        <v>48852309.619999997</v>
      </c>
      <c r="G629">
        <v>604192.48</v>
      </c>
    </row>
    <row r="630" spans="1:7" x14ac:dyDescent="0.25">
      <c r="A630" s="1">
        <v>45444</v>
      </c>
      <c r="B630" t="s">
        <v>7</v>
      </c>
      <c r="C630" t="s">
        <v>684</v>
      </c>
      <c r="D630" t="s">
        <v>689</v>
      </c>
      <c r="E630">
        <v>57200943.670000002</v>
      </c>
      <c r="F630">
        <v>49185338.390000001</v>
      </c>
      <c r="G630">
        <v>2540730.7400000002</v>
      </c>
    </row>
    <row r="631" spans="1:7" x14ac:dyDescent="0.25">
      <c r="A631" s="1">
        <v>45413</v>
      </c>
      <c r="B631" t="s">
        <v>7</v>
      </c>
      <c r="C631" t="s">
        <v>684</v>
      </c>
      <c r="D631" t="s">
        <v>690</v>
      </c>
      <c r="E631">
        <v>54044544.899999999</v>
      </c>
      <c r="F631">
        <v>50301754.039999999</v>
      </c>
      <c r="G631">
        <v>8574378.2699999996</v>
      </c>
    </row>
    <row r="632" spans="1:7" x14ac:dyDescent="0.25">
      <c r="A632" s="1">
        <v>45627</v>
      </c>
      <c r="B632" t="s">
        <v>7</v>
      </c>
      <c r="C632" t="s">
        <v>684</v>
      </c>
      <c r="D632" t="s">
        <v>691</v>
      </c>
      <c r="E632">
        <v>70092052.189999998</v>
      </c>
      <c r="F632">
        <v>67622787.400000006</v>
      </c>
      <c r="G632">
        <v>229027.53</v>
      </c>
    </row>
    <row r="633" spans="1:7" x14ac:dyDescent="0.25">
      <c r="A633" s="1">
        <v>45352</v>
      </c>
      <c r="B633" t="s">
        <v>7</v>
      </c>
      <c r="C633" t="s">
        <v>684</v>
      </c>
      <c r="D633" t="s">
        <v>692</v>
      </c>
      <c r="E633">
        <v>45868311.43</v>
      </c>
      <c r="F633">
        <v>44661964.43</v>
      </c>
      <c r="G633">
        <v>5957976.2199999997</v>
      </c>
    </row>
    <row r="634" spans="1:7" x14ac:dyDescent="0.25">
      <c r="A634" s="1">
        <v>45383</v>
      </c>
      <c r="B634" t="s">
        <v>7</v>
      </c>
      <c r="C634" t="s">
        <v>684</v>
      </c>
      <c r="D634" t="s">
        <v>693</v>
      </c>
      <c r="E634">
        <v>46388770.100000001</v>
      </c>
      <c r="F634">
        <v>46524439.060000002</v>
      </c>
      <c r="G634">
        <v>1545360.63</v>
      </c>
    </row>
    <row r="635" spans="1:7" x14ac:dyDescent="0.25">
      <c r="A635" s="1">
        <v>45505</v>
      </c>
      <c r="B635" t="s">
        <v>7</v>
      </c>
      <c r="C635" t="s">
        <v>684</v>
      </c>
      <c r="D635" t="s">
        <v>694</v>
      </c>
      <c r="E635">
        <v>49224855.890000001</v>
      </c>
      <c r="F635">
        <v>49184874.619999997</v>
      </c>
      <c r="G635">
        <v>1002361.49</v>
      </c>
    </row>
    <row r="636" spans="1:7" x14ac:dyDescent="0.25">
      <c r="A636" s="1">
        <v>45323</v>
      </c>
      <c r="B636" t="s">
        <v>7</v>
      </c>
      <c r="C636" t="s">
        <v>684</v>
      </c>
      <c r="D636" t="s">
        <v>695</v>
      </c>
      <c r="E636">
        <v>43543744.340000004</v>
      </c>
      <c r="F636">
        <v>39121491.590000004</v>
      </c>
      <c r="G636">
        <v>9778281.6400000006</v>
      </c>
    </row>
    <row r="637" spans="1:7" x14ac:dyDescent="0.25">
      <c r="A637" s="1">
        <v>45292</v>
      </c>
      <c r="B637" t="s">
        <v>7</v>
      </c>
      <c r="C637" t="s">
        <v>684</v>
      </c>
      <c r="D637" t="s">
        <v>696</v>
      </c>
      <c r="E637">
        <v>42794453.609999999</v>
      </c>
      <c r="F637">
        <v>8693872.6099999994</v>
      </c>
      <c r="G637">
        <v>57074689.270000003</v>
      </c>
    </row>
    <row r="638" spans="1:7" x14ac:dyDescent="0.25">
      <c r="A638" s="1">
        <v>45505</v>
      </c>
      <c r="B638" t="s">
        <v>7</v>
      </c>
      <c r="C638" t="s">
        <v>697</v>
      </c>
      <c r="D638" t="s">
        <v>698</v>
      </c>
      <c r="E638">
        <v>42255922.369999997</v>
      </c>
      <c r="F638">
        <v>41407846.770000003</v>
      </c>
      <c r="G638">
        <v>859603.81</v>
      </c>
    </row>
    <row r="639" spans="1:7" x14ac:dyDescent="0.25">
      <c r="A639" s="1">
        <v>45597</v>
      </c>
      <c r="B639" t="s">
        <v>7</v>
      </c>
      <c r="C639" t="s">
        <v>697</v>
      </c>
      <c r="D639" t="s">
        <v>699</v>
      </c>
      <c r="E639">
        <v>63211681.25</v>
      </c>
      <c r="F639">
        <v>50065186.020000003</v>
      </c>
      <c r="G639">
        <v>173216.83</v>
      </c>
    </row>
    <row r="640" spans="1:7" x14ac:dyDescent="0.25">
      <c r="A640" s="1">
        <v>45413</v>
      </c>
      <c r="B640" t="s">
        <v>7</v>
      </c>
      <c r="C640" t="s">
        <v>697</v>
      </c>
      <c r="D640" t="s">
        <v>700</v>
      </c>
      <c r="E640">
        <v>42638395</v>
      </c>
      <c r="F640">
        <v>41264217.57</v>
      </c>
      <c r="G640">
        <v>2188503.17</v>
      </c>
    </row>
    <row r="641" spans="1:7" x14ac:dyDescent="0.25">
      <c r="A641" s="1">
        <v>45444</v>
      </c>
      <c r="B641" t="s">
        <v>7</v>
      </c>
      <c r="C641" t="s">
        <v>697</v>
      </c>
      <c r="D641" t="s">
        <v>701</v>
      </c>
      <c r="E641">
        <v>50926366.229999997</v>
      </c>
      <c r="F641">
        <v>41460836.770000003</v>
      </c>
      <c r="G641">
        <v>963242</v>
      </c>
    </row>
    <row r="642" spans="1:7" x14ac:dyDescent="0.25">
      <c r="A642" s="1">
        <v>45352</v>
      </c>
      <c r="B642" t="s">
        <v>7</v>
      </c>
      <c r="C642" t="s">
        <v>697</v>
      </c>
      <c r="D642" t="s">
        <v>702</v>
      </c>
      <c r="E642">
        <v>39402085.439999998</v>
      </c>
      <c r="F642">
        <v>37705100.689999998</v>
      </c>
      <c r="G642">
        <v>6082444.75</v>
      </c>
    </row>
    <row r="643" spans="1:7" x14ac:dyDescent="0.25">
      <c r="A643" s="1">
        <v>45383</v>
      </c>
      <c r="B643" t="s">
        <v>7</v>
      </c>
      <c r="C643" t="s">
        <v>697</v>
      </c>
      <c r="D643" t="s">
        <v>703</v>
      </c>
      <c r="E643">
        <v>40188355.490000002</v>
      </c>
      <c r="F643">
        <v>39831901.289999999</v>
      </c>
      <c r="G643">
        <v>2530672.16</v>
      </c>
    </row>
    <row r="644" spans="1:7" x14ac:dyDescent="0.25">
      <c r="A644" s="1">
        <v>45536</v>
      </c>
      <c r="B644" t="s">
        <v>7</v>
      </c>
      <c r="C644" t="s">
        <v>697</v>
      </c>
      <c r="D644" t="s">
        <v>704</v>
      </c>
      <c r="E644">
        <v>42709790.979999997</v>
      </c>
      <c r="F644">
        <v>42004551.5</v>
      </c>
      <c r="G644">
        <v>215163.17</v>
      </c>
    </row>
    <row r="645" spans="1:7" x14ac:dyDescent="0.25">
      <c r="A645" s="1">
        <v>45627</v>
      </c>
      <c r="B645" t="s">
        <v>7</v>
      </c>
      <c r="C645" t="s">
        <v>697</v>
      </c>
      <c r="D645" t="s">
        <v>705</v>
      </c>
      <c r="E645">
        <v>60196999.170000002</v>
      </c>
      <c r="F645">
        <v>54495133.159999996</v>
      </c>
      <c r="G645">
        <v>836001</v>
      </c>
    </row>
    <row r="646" spans="1:7" x14ac:dyDescent="0.25">
      <c r="A646" s="1">
        <v>45566</v>
      </c>
      <c r="B646" t="s">
        <v>7</v>
      </c>
      <c r="C646" t="s">
        <v>697</v>
      </c>
      <c r="D646" t="s">
        <v>706</v>
      </c>
      <c r="E646">
        <v>43387046.68</v>
      </c>
      <c r="F646">
        <v>43981433.840000004</v>
      </c>
      <c r="G646">
        <v>417465.44</v>
      </c>
    </row>
    <row r="647" spans="1:7" x14ac:dyDescent="0.25">
      <c r="A647" s="1">
        <v>45474</v>
      </c>
      <c r="B647" t="s">
        <v>7</v>
      </c>
      <c r="C647" t="s">
        <v>697</v>
      </c>
      <c r="D647" t="s">
        <v>707</v>
      </c>
      <c r="E647">
        <v>44050307.600000001</v>
      </c>
      <c r="F647">
        <v>53717170.170000002</v>
      </c>
      <c r="G647">
        <v>1142542.74</v>
      </c>
    </row>
    <row r="648" spans="1:7" x14ac:dyDescent="0.25">
      <c r="A648" s="1">
        <v>45323</v>
      </c>
      <c r="B648" t="s">
        <v>7</v>
      </c>
      <c r="C648" t="s">
        <v>697</v>
      </c>
      <c r="D648" t="s">
        <v>708</v>
      </c>
      <c r="E648">
        <v>36194936.359999999</v>
      </c>
      <c r="F648">
        <v>32227579.829999998</v>
      </c>
      <c r="G648">
        <v>10747336.689999999</v>
      </c>
    </row>
    <row r="649" spans="1:7" x14ac:dyDescent="0.25">
      <c r="A649" s="1">
        <v>45292</v>
      </c>
      <c r="B649" t="s">
        <v>7</v>
      </c>
      <c r="C649" t="s">
        <v>697</v>
      </c>
      <c r="D649" t="s">
        <v>709</v>
      </c>
      <c r="E649">
        <v>37020704.009999998</v>
      </c>
      <c r="F649">
        <v>8019398.2300000004</v>
      </c>
      <c r="G649">
        <v>47907421.539999999</v>
      </c>
    </row>
    <row r="650" spans="1:7" x14ac:dyDescent="0.25">
      <c r="A650" s="1">
        <v>45505</v>
      </c>
      <c r="B650" t="s">
        <v>7</v>
      </c>
      <c r="C650" t="s">
        <v>710</v>
      </c>
      <c r="D650" t="s">
        <v>711</v>
      </c>
      <c r="E650">
        <v>68478412.670000002</v>
      </c>
      <c r="F650">
        <v>69000103.230000004</v>
      </c>
      <c r="G650">
        <v>4036583.36</v>
      </c>
    </row>
    <row r="651" spans="1:7" x14ac:dyDescent="0.25">
      <c r="A651" s="1">
        <v>45444</v>
      </c>
      <c r="B651" t="s">
        <v>7</v>
      </c>
      <c r="C651" t="s">
        <v>710</v>
      </c>
      <c r="D651" t="s">
        <v>712</v>
      </c>
      <c r="E651">
        <v>70672140.019999996</v>
      </c>
      <c r="F651">
        <v>61318717.289999999</v>
      </c>
      <c r="G651">
        <v>5634779.7400000002</v>
      </c>
    </row>
    <row r="652" spans="1:7" x14ac:dyDescent="0.25">
      <c r="A652" s="1">
        <v>45292</v>
      </c>
      <c r="B652" t="s">
        <v>7</v>
      </c>
      <c r="C652" t="s">
        <v>710</v>
      </c>
      <c r="D652" t="s">
        <v>713</v>
      </c>
      <c r="E652">
        <v>53485430.590000004</v>
      </c>
      <c r="F652">
        <v>10964836.619999999</v>
      </c>
      <c r="G652">
        <v>79666596.359999999</v>
      </c>
    </row>
    <row r="653" spans="1:7" x14ac:dyDescent="0.25">
      <c r="A653" s="1">
        <v>45413</v>
      </c>
      <c r="B653" t="s">
        <v>7</v>
      </c>
      <c r="C653" t="s">
        <v>710</v>
      </c>
      <c r="D653" t="s">
        <v>714</v>
      </c>
      <c r="E653">
        <v>62404971.149999999</v>
      </c>
      <c r="F653">
        <v>58495070.909999996</v>
      </c>
      <c r="G653">
        <v>4935810.46</v>
      </c>
    </row>
    <row r="654" spans="1:7" x14ac:dyDescent="0.25">
      <c r="A654" s="1">
        <v>45323</v>
      </c>
      <c r="B654" t="s">
        <v>7</v>
      </c>
      <c r="C654" t="s">
        <v>710</v>
      </c>
      <c r="D654" t="s">
        <v>715</v>
      </c>
      <c r="E654">
        <v>52348509.219999999</v>
      </c>
      <c r="F654">
        <v>46899643.219999999</v>
      </c>
      <c r="G654">
        <v>20728552.440000001</v>
      </c>
    </row>
    <row r="655" spans="1:7" x14ac:dyDescent="0.25">
      <c r="A655" s="1">
        <v>45627</v>
      </c>
      <c r="B655" t="s">
        <v>7</v>
      </c>
      <c r="C655" t="s">
        <v>710</v>
      </c>
      <c r="D655" t="s">
        <v>716</v>
      </c>
      <c r="E655">
        <v>92516686.5</v>
      </c>
      <c r="F655">
        <v>86270650.400000006</v>
      </c>
      <c r="G655">
        <v>5771384.5499999998</v>
      </c>
    </row>
    <row r="656" spans="1:7" x14ac:dyDescent="0.25">
      <c r="A656" s="1">
        <v>45352</v>
      </c>
      <c r="B656" t="s">
        <v>7</v>
      </c>
      <c r="C656" t="s">
        <v>710</v>
      </c>
      <c r="D656" t="s">
        <v>717</v>
      </c>
      <c r="E656">
        <v>55256483.420000002</v>
      </c>
      <c r="F656">
        <v>54089765.909999996</v>
      </c>
      <c r="G656">
        <v>14383363.189999999</v>
      </c>
    </row>
    <row r="657" spans="1:7" x14ac:dyDescent="0.25">
      <c r="A657" s="1">
        <v>45536</v>
      </c>
      <c r="B657" t="s">
        <v>7</v>
      </c>
      <c r="C657" t="s">
        <v>710</v>
      </c>
      <c r="D657" t="s">
        <v>718</v>
      </c>
      <c r="E657">
        <v>61415778.140000001</v>
      </c>
      <c r="F657">
        <v>62605096.409999996</v>
      </c>
      <c r="G657">
        <v>4560944.07</v>
      </c>
    </row>
    <row r="658" spans="1:7" x14ac:dyDescent="0.25">
      <c r="A658" s="1">
        <v>45566</v>
      </c>
      <c r="B658" t="s">
        <v>7</v>
      </c>
      <c r="C658" t="s">
        <v>710</v>
      </c>
      <c r="D658" t="s">
        <v>719</v>
      </c>
      <c r="E658">
        <v>66310157.700000003</v>
      </c>
      <c r="F658">
        <v>65455410.68</v>
      </c>
      <c r="G658">
        <v>3928660.23</v>
      </c>
    </row>
    <row r="659" spans="1:7" x14ac:dyDescent="0.25">
      <c r="A659" s="1">
        <v>45474</v>
      </c>
      <c r="B659" t="s">
        <v>7</v>
      </c>
      <c r="C659" t="s">
        <v>710</v>
      </c>
      <c r="D659" t="s">
        <v>720</v>
      </c>
      <c r="E659">
        <v>63770340.280000001</v>
      </c>
      <c r="F659">
        <v>70987623.260000005</v>
      </c>
      <c r="G659">
        <v>3530588.93</v>
      </c>
    </row>
    <row r="660" spans="1:7" x14ac:dyDescent="0.25">
      <c r="A660" s="1">
        <v>45383</v>
      </c>
      <c r="B660" t="s">
        <v>7</v>
      </c>
      <c r="C660" t="s">
        <v>710</v>
      </c>
      <c r="D660" t="s">
        <v>721</v>
      </c>
      <c r="E660">
        <v>57379777.060000002</v>
      </c>
      <c r="F660">
        <v>56222848.479999997</v>
      </c>
      <c r="G660">
        <v>5640890.6500000004</v>
      </c>
    </row>
    <row r="661" spans="1:7" x14ac:dyDescent="0.25">
      <c r="A661" s="1">
        <v>45597</v>
      </c>
      <c r="B661" t="s">
        <v>7</v>
      </c>
      <c r="C661" t="s">
        <v>710</v>
      </c>
      <c r="D661" t="s">
        <v>722</v>
      </c>
      <c r="E661">
        <v>107382755.31</v>
      </c>
      <c r="F661">
        <v>82851272.799999997</v>
      </c>
      <c r="G661">
        <v>2137751.65</v>
      </c>
    </row>
    <row r="662" spans="1:7" x14ac:dyDescent="0.25">
      <c r="A662" s="1">
        <v>45413</v>
      </c>
      <c r="B662" t="s">
        <v>7</v>
      </c>
      <c r="C662" t="s">
        <v>723</v>
      </c>
      <c r="D662" t="s">
        <v>724</v>
      </c>
      <c r="E662">
        <v>50566418.060000002</v>
      </c>
      <c r="F662">
        <v>45102594.490000002</v>
      </c>
      <c r="G662">
        <v>1979213.84</v>
      </c>
    </row>
    <row r="663" spans="1:7" x14ac:dyDescent="0.25">
      <c r="A663" s="1">
        <v>45505</v>
      </c>
      <c r="B663" t="s">
        <v>7</v>
      </c>
      <c r="C663" t="s">
        <v>723</v>
      </c>
      <c r="D663" t="s">
        <v>725</v>
      </c>
      <c r="E663">
        <v>46745556.490000002</v>
      </c>
      <c r="F663">
        <v>47908922.960000001</v>
      </c>
      <c r="G663">
        <v>906944.09</v>
      </c>
    </row>
    <row r="664" spans="1:7" x14ac:dyDescent="0.25">
      <c r="A664" s="1">
        <v>45383</v>
      </c>
      <c r="B664" t="s">
        <v>7</v>
      </c>
      <c r="C664" t="s">
        <v>723</v>
      </c>
      <c r="D664" t="s">
        <v>726</v>
      </c>
      <c r="E664">
        <v>43826207.030000001</v>
      </c>
      <c r="F664">
        <v>43906705.890000001</v>
      </c>
      <c r="G664">
        <v>2792627.72</v>
      </c>
    </row>
    <row r="665" spans="1:7" x14ac:dyDescent="0.25">
      <c r="A665" s="1">
        <v>45352</v>
      </c>
      <c r="B665" t="s">
        <v>7</v>
      </c>
      <c r="C665" t="s">
        <v>723</v>
      </c>
      <c r="D665" t="s">
        <v>727</v>
      </c>
      <c r="E665">
        <v>42314789.719999999</v>
      </c>
      <c r="F665">
        <v>41018398.899999999</v>
      </c>
      <c r="G665">
        <v>3945627.38</v>
      </c>
    </row>
    <row r="666" spans="1:7" x14ac:dyDescent="0.25">
      <c r="A666" s="1">
        <v>45323</v>
      </c>
      <c r="B666" t="s">
        <v>7</v>
      </c>
      <c r="C666" t="s">
        <v>723</v>
      </c>
      <c r="D666" t="s">
        <v>728</v>
      </c>
      <c r="E666">
        <v>40825401.969999999</v>
      </c>
      <c r="F666">
        <v>42081248.240000002</v>
      </c>
      <c r="G666">
        <v>3382618.16</v>
      </c>
    </row>
    <row r="667" spans="1:7" x14ac:dyDescent="0.25">
      <c r="A667" s="1">
        <v>45292</v>
      </c>
      <c r="B667" t="s">
        <v>7</v>
      </c>
      <c r="C667" t="s">
        <v>723</v>
      </c>
      <c r="D667" t="s">
        <v>729</v>
      </c>
      <c r="E667">
        <v>40392942.119999997</v>
      </c>
      <c r="F667">
        <v>8417205.5800000001</v>
      </c>
      <c r="G667">
        <v>48404833.939999998</v>
      </c>
    </row>
    <row r="668" spans="1:7" x14ac:dyDescent="0.25">
      <c r="A668" s="1">
        <v>45627</v>
      </c>
      <c r="B668" t="s">
        <v>7</v>
      </c>
      <c r="C668" t="s">
        <v>723</v>
      </c>
      <c r="D668" t="s">
        <v>730</v>
      </c>
      <c r="E668">
        <v>36370553.719999999</v>
      </c>
      <c r="F668">
        <v>32969665.359999999</v>
      </c>
      <c r="G668">
        <v>997612.02</v>
      </c>
    </row>
    <row r="669" spans="1:7" x14ac:dyDescent="0.25">
      <c r="A669" s="1">
        <v>45566</v>
      </c>
      <c r="B669" t="s">
        <v>7</v>
      </c>
      <c r="C669" t="s">
        <v>723</v>
      </c>
      <c r="D669" t="s">
        <v>731</v>
      </c>
      <c r="E669">
        <v>50147022.829999998</v>
      </c>
      <c r="F669">
        <v>49562664.109999999</v>
      </c>
      <c r="G669">
        <v>867190.59</v>
      </c>
    </row>
    <row r="670" spans="1:7" x14ac:dyDescent="0.25">
      <c r="A670" s="1">
        <v>45444</v>
      </c>
      <c r="B670" t="s">
        <v>7</v>
      </c>
      <c r="C670" t="s">
        <v>723</v>
      </c>
      <c r="D670" t="s">
        <v>732</v>
      </c>
      <c r="E670">
        <v>55800224.659999996</v>
      </c>
      <c r="F670">
        <v>44244146.530000001</v>
      </c>
      <c r="G670">
        <v>1406283.72</v>
      </c>
    </row>
    <row r="671" spans="1:7" x14ac:dyDescent="0.25">
      <c r="A671" s="1">
        <v>45474</v>
      </c>
      <c r="B671" t="s">
        <v>7</v>
      </c>
      <c r="C671" t="s">
        <v>723</v>
      </c>
      <c r="D671" t="s">
        <v>733</v>
      </c>
      <c r="E671">
        <v>48290476.880000003</v>
      </c>
      <c r="F671">
        <v>56141969.950000003</v>
      </c>
      <c r="G671">
        <v>1683950.51</v>
      </c>
    </row>
    <row r="672" spans="1:7" x14ac:dyDescent="0.25">
      <c r="A672" s="1">
        <v>45597</v>
      </c>
      <c r="B672" t="s">
        <v>7</v>
      </c>
      <c r="C672" t="s">
        <v>723</v>
      </c>
      <c r="D672" t="s">
        <v>734</v>
      </c>
      <c r="E672">
        <v>84430257.180000007</v>
      </c>
      <c r="F672">
        <v>71662880.540000007</v>
      </c>
      <c r="G672">
        <v>613341.81999999995</v>
      </c>
    </row>
    <row r="673" spans="1:7" x14ac:dyDescent="0.25">
      <c r="A673" s="1">
        <v>45536</v>
      </c>
      <c r="B673" t="s">
        <v>7</v>
      </c>
      <c r="C673" t="s">
        <v>723</v>
      </c>
      <c r="D673" t="s">
        <v>735</v>
      </c>
      <c r="E673">
        <v>95128798.079999998</v>
      </c>
      <c r="F673">
        <v>95182941.650000006</v>
      </c>
      <c r="G673">
        <v>1084661.9099999999</v>
      </c>
    </row>
    <row r="674" spans="1:7" x14ac:dyDescent="0.25">
      <c r="A674" s="1">
        <v>45474</v>
      </c>
      <c r="B674" t="s">
        <v>7</v>
      </c>
      <c r="C674" t="s">
        <v>736</v>
      </c>
      <c r="D674" t="s">
        <v>737</v>
      </c>
      <c r="E674">
        <v>18795673.390000001</v>
      </c>
      <c r="F674">
        <v>21774673.559999999</v>
      </c>
      <c r="G674">
        <v>987242.15</v>
      </c>
    </row>
    <row r="675" spans="1:7" x14ac:dyDescent="0.25">
      <c r="A675" s="1">
        <v>45444</v>
      </c>
      <c r="B675" t="s">
        <v>7</v>
      </c>
      <c r="C675" t="s">
        <v>736</v>
      </c>
      <c r="D675" t="s">
        <v>738</v>
      </c>
      <c r="E675">
        <v>21761863.27</v>
      </c>
      <c r="F675">
        <v>18881629.379999999</v>
      </c>
      <c r="G675">
        <v>717479.11</v>
      </c>
    </row>
    <row r="676" spans="1:7" x14ac:dyDescent="0.25">
      <c r="A676" s="1">
        <v>45627</v>
      </c>
      <c r="B676" t="s">
        <v>7</v>
      </c>
      <c r="C676" t="s">
        <v>736</v>
      </c>
      <c r="D676" t="s">
        <v>739</v>
      </c>
      <c r="E676">
        <v>30588825.16</v>
      </c>
      <c r="F676">
        <v>28322385.989999998</v>
      </c>
      <c r="G676">
        <v>107342.29</v>
      </c>
    </row>
    <row r="677" spans="1:7" x14ac:dyDescent="0.25">
      <c r="A677" s="1">
        <v>45536</v>
      </c>
      <c r="B677" t="s">
        <v>7</v>
      </c>
      <c r="C677" t="s">
        <v>736</v>
      </c>
      <c r="D677" t="s">
        <v>740</v>
      </c>
      <c r="E677">
        <v>19876909.079999998</v>
      </c>
      <c r="F677">
        <v>27624144.890000001</v>
      </c>
      <c r="G677">
        <v>687115.2</v>
      </c>
    </row>
    <row r="678" spans="1:7" x14ac:dyDescent="0.25">
      <c r="A678" s="1">
        <v>45597</v>
      </c>
      <c r="B678" t="s">
        <v>7</v>
      </c>
      <c r="C678" t="s">
        <v>736</v>
      </c>
      <c r="D678" t="s">
        <v>741</v>
      </c>
      <c r="E678">
        <v>30914387.170000002</v>
      </c>
      <c r="F678">
        <v>25244399.460000001</v>
      </c>
      <c r="G678">
        <v>127212.06</v>
      </c>
    </row>
    <row r="679" spans="1:7" x14ac:dyDescent="0.25">
      <c r="A679" s="1">
        <v>45292</v>
      </c>
      <c r="B679" t="s">
        <v>7</v>
      </c>
      <c r="C679" t="s">
        <v>736</v>
      </c>
      <c r="D679" t="s">
        <v>742</v>
      </c>
      <c r="E679">
        <v>16757830</v>
      </c>
      <c r="F679">
        <v>3566728.49</v>
      </c>
      <c r="G679">
        <v>21623605.73</v>
      </c>
    </row>
    <row r="680" spans="1:7" x14ac:dyDescent="0.25">
      <c r="A680" s="1">
        <v>45323</v>
      </c>
      <c r="B680" t="s">
        <v>7</v>
      </c>
      <c r="C680" t="s">
        <v>736</v>
      </c>
      <c r="D680" t="s">
        <v>743</v>
      </c>
      <c r="E680">
        <v>16910170.710000001</v>
      </c>
      <c r="F680">
        <v>16950580.420000002</v>
      </c>
      <c r="G680">
        <v>2574619.2000000002</v>
      </c>
    </row>
    <row r="681" spans="1:7" x14ac:dyDescent="0.25">
      <c r="A681" s="1">
        <v>45352</v>
      </c>
      <c r="B681" t="s">
        <v>7</v>
      </c>
      <c r="C681" t="s">
        <v>736</v>
      </c>
      <c r="D681" t="s">
        <v>744</v>
      </c>
      <c r="E681">
        <v>17961605.829999998</v>
      </c>
      <c r="F681">
        <v>17427061.77</v>
      </c>
      <c r="G681">
        <v>1890937.4</v>
      </c>
    </row>
    <row r="682" spans="1:7" x14ac:dyDescent="0.25">
      <c r="A682" s="1">
        <v>45383</v>
      </c>
      <c r="B682" t="s">
        <v>7</v>
      </c>
      <c r="C682" t="s">
        <v>736</v>
      </c>
      <c r="D682" t="s">
        <v>745</v>
      </c>
      <c r="E682">
        <v>18144272.100000001</v>
      </c>
      <c r="F682">
        <v>18088047.140000001</v>
      </c>
      <c r="G682">
        <v>1305280.44</v>
      </c>
    </row>
    <row r="683" spans="1:7" x14ac:dyDescent="0.25">
      <c r="A683" s="1">
        <v>45566</v>
      </c>
      <c r="B683" t="s">
        <v>7</v>
      </c>
      <c r="C683" t="s">
        <v>736</v>
      </c>
      <c r="D683" t="s">
        <v>746</v>
      </c>
      <c r="E683">
        <v>20476705.09</v>
      </c>
      <c r="F683">
        <v>20212077.510000002</v>
      </c>
      <c r="G683">
        <v>336206.3</v>
      </c>
    </row>
    <row r="684" spans="1:7" x14ac:dyDescent="0.25">
      <c r="A684" s="1">
        <v>45413</v>
      </c>
      <c r="B684" t="s">
        <v>7</v>
      </c>
      <c r="C684" t="s">
        <v>736</v>
      </c>
      <c r="D684" t="s">
        <v>747</v>
      </c>
      <c r="E684">
        <v>19313608.07</v>
      </c>
      <c r="F684">
        <v>18457945.190000001</v>
      </c>
      <c r="G684">
        <v>6754169.96</v>
      </c>
    </row>
    <row r="685" spans="1:7" x14ac:dyDescent="0.25">
      <c r="A685" s="1">
        <v>45505</v>
      </c>
      <c r="B685" t="s">
        <v>7</v>
      </c>
      <c r="C685" t="s">
        <v>736</v>
      </c>
      <c r="D685" t="s">
        <v>748</v>
      </c>
      <c r="E685">
        <v>27228780.66</v>
      </c>
      <c r="F685">
        <v>19025525.579999998</v>
      </c>
      <c r="G685">
        <v>485777.94</v>
      </c>
    </row>
    <row r="686" spans="1:7" x14ac:dyDescent="0.25">
      <c r="A686" s="1">
        <v>45292</v>
      </c>
      <c r="B686" t="s">
        <v>7</v>
      </c>
      <c r="C686" t="s">
        <v>749</v>
      </c>
      <c r="D686" t="s">
        <v>750</v>
      </c>
      <c r="E686">
        <v>25153300.82</v>
      </c>
      <c r="F686">
        <v>5232610.6900000004</v>
      </c>
      <c r="G686">
        <v>30825856.969999999</v>
      </c>
    </row>
    <row r="687" spans="1:7" x14ac:dyDescent="0.25">
      <c r="A687" s="1">
        <v>45352</v>
      </c>
      <c r="B687" t="s">
        <v>7</v>
      </c>
      <c r="C687" t="s">
        <v>749</v>
      </c>
      <c r="D687" t="s">
        <v>751</v>
      </c>
      <c r="E687">
        <v>26056362.690000001</v>
      </c>
      <c r="F687">
        <v>25408666.82</v>
      </c>
      <c r="G687">
        <v>5689828.9900000002</v>
      </c>
    </row>
    <row r="688" spans="1:7" x14ac:dyDescent="0.25">
      <c r="A688" s="1">
        <v>45413</v>
      </c>
      <c r="B688" t="s">
        <v>7</v>
      </c>
      <c r="C688" t="s">
        <v>749</v>
      </c>
      <c r="D688" t="s">
        <v>752</v>
      </c>
      <c r="E688">
        <v>29400316.120000001</v>
      </c>
      <c r="F688">
        <v>27169110.969999999</v>
      </c>
      <c r="G688">
        <v>2006393.01</v>
      </c>
    </row>
    <row r="689" spans="1:7" x14ac:dyDescent="0.25">
      <c r="A689" s="1">
        <v>45566</v>
      </c>
      <c r="B689" t="s">
        <v>7</v>
      </c>
      <c r="C689" t="s">
        <v>749</v>
      </c>
      <c r="D689" t="s">
        <v>753</v>
      </c>
      <c r="E689">
        <v>30050164.109999999</v>
      </c>
      <c r="F689">
        <v>29496043.57</v>
      </c>
      <c r="G689">
        <v>823779.51</v>
      </c>
    </row>
    <row r="690" spans="1:7" x14ac:dyDescent="0.25">
      <c r="A690" s="1">
        <v>45597</v>
      </c>
      <c r="B690" t="s">
        <v>7</v>
      </c>
      <c r="C690" t="s">
        <v>749</v>
      </c>
      <c r="D690" t="s">
        <v>754</v>
      </c>
      <c r="E690">
        <v>44047107.439999998</v>
      </c>
      <c r="F690">
        <v>35733376.670000002</v>
      </c>
      <c r="G690">
        <v>660558.30000000005</v>
      </c>
    </row>
    <row r="691" spans="1:7" x14ac:dyDescent="0.25">
      <c r="A691" s="1">
        <v>45444</v>
      </c>
      <c r="B691" t="s">
        <v>7</v>
      </c>
      <c r="C691" t="s">
        <v>749</v>
      </c>
      <c r="D691" t="s">
        <v>755</v>
      </c>
      <c r="E691">
        <v>35170220.850000001</v>
      </c>
      <c r="F691">
        <v>29602384.239999998</v>
      </c>
      <c r="G691">
        <v>850217.66</v>
      </c>
    </row>
    <row r="692" spans="1:7" x14ac:dyDescent="0.25">
      <c r="A692" s="1">
        <v>45474</v>
      </c>
      <c r="B692" t="s">
        <v>7</v>
      </c>
      <c r="C692" t="s">
        <v>749</v>
      </c>
      <c r="D692" t="s">
        <v>756</v>
      </c>
      <c r="E692">
        <v>28892252.780000001</v>
      </c>
      <c r="F692">
        <v>36191882.659999996</v>
      </c>
      <c r="G692">
        <v>1788683.33</v>
      </c>
    </row>
    <row r="693" spans="1:7" x14ac:dyDescent="0.25">
      <c r="A693" s="1">
        <v>45627</v>
      </c>
      <c r="B693" t="s">
        <v>7</v>
      </c>
      <c r="C693" t="s">
        <v>749</v>
      </c>
      <c r="D693" t="s">
        <v>757</v>
      </c>
      <c r="E693">
        <v>42519968.600000001</v>
      </c>
      <c r="F693">
        <v>39865130</v>
      </c>
      <c r="G693">
        <v>804815.1</v>
      </c>
    </row>
    <row r="694" spans="1:7" x14ac:dyDescent="0.25">
      <c r="A694" s="1">
        <v>45383</v>
      </c>
      <c r="B694" t="s">
        <v>7</v>
      </c>
      <c r="C694" t="s">
        <v>749</v>
      </c>
      <c r="D694" t="s">
        <v>758</v>
      </c>
      <c r="E694">
        <v>27084539.59</v>
      </c>
      <c r="F694">
        <v>26788215.579999998</v>
      </c>
      <c r="G694">
        <v>2571013.0299999998</v>
      </c>
    </row>
    <row r="695" spans="1:7" x14ac:dyDescent="0.25">
      <c r="A695" s="1">
        <v>45505</v>
      </c>
      <c r="B695" t="s">
        <v>7</v>
      </c>
      <c r="C695" t="s">
        <v>749</v>
      </c>
      <c r="D695" t="s">
        <v>759</v>
      </c>
      <c r="E695">
        <v>30174709.859999999</v>
      </c>
      <c r="F695">
        <v>28481822.850000001</v>
      </c>
      <c r="G695">
        <v>967659.8</v>
      </c>
    </row>
    <row r="696" spans="1:7" x14ac:dyDescent="0.25">
      <c r="A696" s="1">
        <v>45536</v>
      </c>
      <c r="B696" t="s">
        <v>7</v>
      </c>
      <c r="C696" t="s">
        <v>749</v>
      </c>
      <c r="D696" t="s">
        <v>760</v>
      </c>
      <c r="E696">
        <v>29495750.059999999</v>
      </c>
      <c r="F696">
        <v>30126929.57</v>
      </c>
      <c r="G696">
        <v>651967.12</v>
      </c>
    </row>
    <row r="697" spans="1:7" x14ac:dyDescent="0.25">
      <c r="A697" s="1">
        <v>45323</v>
      </c>
      <c r="B697" t="s">
        <v>7</v>
      </c>
      <c r="C697" t="s">
        <v>749</v>
      </c>
      <c r="D697" t="s">
        <v>761</v>
      </c>
      <c r="E697">
        <v>24866410.850000001</v>
      </c>
      <c r="F697">
        <v>25214976.359999999</v>
      </c>
      <c r="G697">
        <v>3053233.73</v>
      </c>
    </row>
    <row r="698" spans="1:7" x14ac:dyDescent="0.25">
      <c r="A698" s="1">
        <v>45292</v>
      </c>
      <c r="B698" t="s">
        <v>7</v>
      </c>
      <c r="C698" t="s">
        <v>762</v>
      </c>
      <c r="D698" t="s">
        <v>763</v>
      </c>
      <c r="E698">
        <v>23124182.829999998</v>
      </c>
      <c r="F698">
        <v>4484094.2300000004</v>
      </c>
      <c r="G698">
        <v>30545947.41</v>
      </c>
    </row>
    <row r="699" spans="1:7" x14ac:dyDescent="0.25">
      <c r="A699" s="1">
        <v>45413</v>
      </c>
      <c r="B699" t="s">
        <v>7</v>
      </c>
      <c r="C699" t="s">
        <v>762</v>
      </c>
      <c r="D699" t="s">
        <v>764</v>
      </c>
      <c r="E699">
        <v>28920436.379999999</v>
      </c>
      <c r="F699">
        <v>27507215.579999998</v>
      </c>
      <c r="G699">
        <v>2398646.89</v>
      </c>
    </row>
    <row r="700" spans="1:7" x14ac:dyDescent="0.25">
      <c r="A700" s="1">
        <v>45505</v>
      </c>
      <c r="B700" t="s">
        <v>7</v>
      </c>
      <c r="C700" t="s">
        <v>762</v>
      </c>
      <c r="D700" t="s">
        <v>765</v>
      </c>
      <c r="E700">
        <v>29594137.920000002</v>
      </c>
      <c r="F700">
        <v>27827774.149999999</v>
      </c>
      <c r="G700">
        <v>1563029.98</v>
      </c>
    </row>
    <row r="701" spans="1:7" x14ac:dyDescent="0.25">
      <c r="A701" s="1">
        <v>45597</v>
      </c>
      <c r="B701" t="s">
        <v>7</v>
      </c>
      <c r="C701" t="s">
        <v>762</v>
      </c>
      <c r="D701" t="s">
        <v>766</v>
      </c>
      <c r="E701">
        <v>38225196.100000001</v>
      </c>
      <c r="F701">
        <v>29694306.579999998</v>
      </c>
      <c r="G701">
        <v>1154712.42</v>
      </c>
    </row>
    <row r="702" spans="1:7" x14ac:dyDescent="0.25">
      <c r="A702" s="1">
        <v>45352</v>
      </c>
      <c r="B702" t="s">
        <v>7</v>
      </c>
      <c r="C702" t="s">
        <v>762</v>
      </c>
      <c r="D702" t="s">
        <v>767</v>
      </c>
      <c r="E702">
        <v>24196650.600000001</v>
      </c>
      <c r="F702">
        <v>23783781.280000001</v>
      </c>
      <c r="G702">
        <v>6524158.6799999997</v>
      </c>
    </row>
    <row r="703" spans="1:7" x14ac:dyDescent="0.25">
      <c r="A703" s="1">
        <v>45444</v>
      </c>
      <c r="B703" t="s">
        <v>7</v>
      </c>
      <c r="C703" t="s">
        <v>762</v>
      </c>
      <c r="D703" t="s">
        <v>768</v>
      </c>
      <c r="E703">
        <v>32479171.370000001</v>
      </c>
      <c r="F703">
        <v>27866080.350000001</v>
      </c>
      <c r="G703">
        <v>2293411</v>
      </c>
    </row>
    <row r="704" spans="1:7" x14ac:dyDescent="0.25">
      <c r="A704" s="1">
        <v>45474</v>
      </c>
      <c r="B704" t="s">
        <v>7</v>
      </c>
      <c r="C704" t="s">
        <v>762</v>
      </c>
      <c r="D704" t="s">
        <v>769</v>
      </c>
      <c r="E704">
        <v>29019312.600000001</v>
      </c>
      <c r="F704">
        <v>34443530.329999998</v>
      </c>
      <c r="G704">
        <v>3065082.28</v>
      </c>
    </row>
    <row r="705" spans="1:7" x14ac:dyDescent="0.25">
      <c r="A705" s="1">
        <v>45566</v>
      </c>
      <c r="B705" t="s">
        <v>7</v>
      </c>
      <c r="C705" t="s">
        <v>762</v>
      </c>
      <c r="D705" t="s">
        <v>770</v>
      </c>
      <c r="E705">
        <v>30814865.84</v>
      </c>
      <c r="F705">
        <v>31933704.34</v>
      </c>
      <c r="G705">
        <v>1997609.29</v>
      </c>
    </row>
    <row r="706" spans="1:7" x14ac:dyDescent="0.25">
      <c r="A706" s="1">
        <v>45627</v>
      </c>
      <c r="B706" t="s">
        <v>7</v>
      </c>
      <c r="C706" t="s">
        <v>762</v>
      </c>
      <c r="D706" t="s">
        <v>771</v>
      </c>
      <c r="E706">
        <v>39789631.469999999</v>
      </c>
      <c r="F706">
        <v>42219438.119999997</v>
      </c>
      <c r="G706">
        <v>2340708.09</v>
      </c>
    </row>
    <row r="707" spans="1:7" x14ac:dyDescent="0.25">
      <c r="A707" s="1">
        <v>45383</v>
      </c>
      <c r="B707" t="s">
        <v>7</v>
      </c>
      <c r="C707" t="s">
        <v>762</v>
      </c>
      <c r="D707" t="s">
        <v>772</v>
      </c>
      <c r="E707">
        <v>27679738.859999999</v>
      </c>
      <c r="F707">
        <v>26843130.670000002</v>
      </c>
      <c r="G707">
        <v>4118991.67</v>
      </c>
    </row>
    <row r="708" spans="1:7" x14ac:dyDescent="0.25">
      <c r="A708" s="1">
        <v>45536</v>
      </c>
      <c r="B708" t="s">
        <v>7</v>
      </c>
      <c r="C708" t="s">
        <v>762</v>
      </c>
      <c r="D708" t="s">
        <v>773</v>
      </c>
      <c r="E708">
        <v>31837693.050000001</v>
      </c>
      <c r="F708">
        <v>31759161.91</v>
      </c>
      <c r="G708">
        <v>1736981.35</v>
      </c>
    </row>
    <row r="709" spans="1:7" x14ac:dyDescent="0.25">
      <c r="A709" s="1">
        <v>45323</v>
      </c>
      <c r="B709" t="s">
        <v>7</v>
      </c>
      <c r="C709" t="s">
        <v>762</v>
      </c>
      <c r="D709" t="s">
        <v>774</v>
      </c>
      <c r="E709">
        <v>23569502.23</v>
      </c>
      <c r="F709">
        <v>23626630.879999999</v>
      </c>
      <c r="G709">
        <v>2867994.31</v>
      </c>
    </row>
    <row r="710" spans="1:7" x14ac:dyDescent="0.25">
      <c r="A710" s="1">
        <v>45323</v>
      </c>
      <c r="B710" t="s">
        <v>7</v>
      </c>
      <c r="C710" t="s">
        <v>775</v>
      </c>
      <c r="D710" t="s">
        <v>776</v>
      </c>
      <c r="E710">
        <v>21525596.57</v>
      </c>
      <c r="F710">
        <v>21396677.699999999</v>
      </c>
      <c r="G710">
        <v>2254981.2599999998</v>
      </c>
    </row>
    <row r="711" spans="1:7" x14ac:dyDescent="0.25">
      <c r="A711" s="1">
        <v>45474</v>
      </c>
      <c r="B711" t="s">
        <v>7</v>
      </c>
      <c r="C711" t="s">
        <v>775</v>
      </c>
      <c r="D711" t="s">
        <v>777</v>
      </c>
      <c r="E711">
        <v>24915575.050000001</v>
      </c>
      <c r="F711">
        <v>29767963.559999999</v>
      </c>
      <c r="G711">
        <v>1265787.6299999999</v>
      </c>
    </row>
    <row r="712" spans="1:7" x14ac:dyDescent="0.25">
      <c r="A712" s="1">
        <v>45536</v>
      </c>
      <c r="B712" t="s">
        <v>7</v>
      </c>
      <c r="C712" t="s">
        <v>775</v>
      </c>
      <c r="D712" t="s">
        <v>778</v>
      </c>
      <c r="E712">
        <v>27087712.969999999</v>
      </c>
      <c r="F712">
        <v>26825722.23</v>
      </c>
      <c r="G712">
        <v>797330.88</v>
      </c>
    </row>
    <row r="713" spans="1:7" x14ac:dyDescent="0.25">
      <c r="A713" s="1">
        <v>45444</v>
      </c>
      <c r="B713" t="s">
        <v>7</v>
      </c>
      <c r="C713" t="s">
        <v>775</v>
      </c>
      <c r="D713" t="s">
        <v>779</v>
      </c>
      <c r="E713">
        <v>30096170.719999999</v>
      </c>
      <c r="F713">
        <v>25442759.91</v>
      </c>
      <c r="G713">
        <v>1442470.88</v>
      </c>
    </row>
    <row r="714" spans="1:7" x14ac:dyDescent="0.25">
      <c r="A714" s="1">
        <v>45627</v>
      </c>
      <c r="B714" t="s">
        <v>7</v>
      </c>
      <c r="C714" t="s">
        <v>775</v>
      </c>
      <c r="D714" t="s">
        <v>780</v>
      </c>
      <c r="E714">
        <v>34862122.810000002</v>
      </c>
      <c r="F714">
        <v>31140879.68</v>
      </c>
      <c r="G714">
        <v>344029.16</v>
      </c>
    </row>
    <row r="715" spans="1:7" x14ac:dyDescent="0.25">
      <c r="A715" s="1">
        <v>45352</v>
      </c>
      <c r="B715" t="s">
        <v>7</v>
      </c>
      <c r="C715" t="s">
        <v>775</v>
      </c>
      <c r="D715" t="s">
        <v>781</v>
      </c>
      <c r="E715">
        <v>23181125.82</v>
      </c>
      <c r="F715">
        <v>21408880.809999999</v>
      </c>
      <c r="G715">
        <v>2409031.2799999998</v>
      </c>
    </row>
    <row r="716" spans="1:7" x14ac:dyDescent="0.25">
      <c r="A716" s="1">
        <v>45413</v>
      </c>
      <c r="B716" t="s">
        <v>7</v>
      </c>
      <c r="C716" t="s">
        <v>775</v>
      </c>
      <c r="D716" t="s">
        <v>782</v>
      </c>
      <c r="E716">
        <v>25855990.420000002</v>
      </c>
      <c r="F716">
        <v>24966240.300000001</v>
      </c>
      <c r="G716">
        <v>1445936.17</v>
      </c>
    </row>
    <row r="717" spans="1:7" x14ac:dyDescent="0.25">
      <c r="A717" s="1">
        <v>45292</v>
      </c>
      <c r="B717" t="s">
        <v>7</v>
      </c>
      <c r="C717" t="s">
        <v>775</v>
      </c>
      <c r="D717" t="s">
        <v>783</v>
      </c>
      <c r="E717">
        <v>20686902.890000001</v>
      </c>
      <c r="F717">
        <v>4940141.63</v>
      </c>
      <c r="G717">
        <v>28079916.199999999</v>
      </c>
    </row>
    <row r="718" spans="1:7" x14ac:dyDescent="0.25">
      <c r="A718" s="1">
        <v>45383</v>
      </c>
      <c r="B718" t="s">
        <v>7</v>
      </c>
      <c r="C718" t="s">
        <v>775</v>
      </c>
      <c r="D718" t="s">
        <v>784</v>
      </c>
      <c r="E718">
        <v>22907751.350000001</v>
      </c>
      <c r="F718">
        <v>23093987.359999999</v>
      </c>
      <c r="G718">
        <v>1524929.83</v>
      </c>
    </row>
    <row r="719" spans="1:7" x14ac:dyDescent="0.25">
      <c r="A719" s="1">
        <v>45566</v>
      </c>
      <c r="B719" t="s">
        <v>7</v>
      </c>
      <c r="C719" t="s">
        <v>775</v>
      </c>
      <c r="D719" t="s">
        <v>785</v>
      </c>
      <c r="E719">
        <v>27570998.059999999</v>
      </c>
      <c r="F719">
        <v>26371025.239999998</v>
      </c>
      <c r="G719">
        <v>645669.26</v>
      </c>
    </row>
    <row r="720" spans="1:7" x14ac:dyDescent="0.25">
      <c r="A720" s="1">
        <v>45597</v>
      </c>
      <c r="B720" t="s">
        <v>7</v>
      </c>
      <c r="C720" t="s">
        <v>775</v>
      </c>
      <c r="D720" t="s">
        <v>786</v>
      </c>
      <c r="E720">
        <v>38871332.420000002</v>
      </c>
      <c r="F720">
        <v>35239550.689999998</v>
      </c>
      <c r="G720">
        <v>173909.98</v>
      </c>
    </row>
    <row r="721" spans="1:7" x14ac:dyDescent="0.25">
      <c r="A721" s="1">
        <v>45505</v>
      </c>
      <c r="B721" t="s">
        <v>7</v>
      </c>
      <c r="C721" t="s">
        <v>775</v>
      </c>
      <c r="D721" t="s">
        <v>787</v>
      </c>
      <c r="E721">
        <v>25275609.66</v>
      </c>
      <c r="F721">
        <v>24797922.030000001</v>
      </c>
      <c r="G721">
        <v>344940.48</v>
      </c>
    </row>
    <row r="722" spans="1:7" x14ac:dyDescent="0.25">
      <c r="A722" s="1">
        <v>45474</v>
      </c>
      <c r="B722" t="s">
        <v>7</v>
      </c>
      <c r="C722" t="s">
        <v>788</v>
      </c>
      <c r="D722" t="s">
        <v>789</v>
      </c>
      <c r="E722">
        <v>24254242.440000001</v>
      </c>
      <c r="F722">
        <v>29531755.969999999</v>
      </c>
      <c r="G722">
        <v>1396115.21</v>
      </c>
    </row>
    <row r="723" spans="1:7" x14ac:dyDescent="0.25">
      <c r="A723" s="1">
        <v>45292</v>
      </c>
      <c r="B723" t="s">
        <v>7</v>
      </c>
      <c r="C723" t="s">
        <v>788</v>
      </c>
      <c r="D723" t="s">
        <v>790</v>
      </c>
      <c r="E723">
        <v>20904890.620000001</v>
      </c>
      <c r="F723">
        <v>4405522.29</v>
      </c>
      <c r="G723">
        <v>27781398.309999999</v>
      </c>
    </row>
    <row r="724" spans="1:7" x14ac:dyDescent="0.25">
      <c r="A724" s="1">
        <v>45383</v>
      </c>
      <c r="B724" t="s">
        <v>7</v>
      </c>
      <c r="C724" t="s">
        <v>788</v>
      </c>
      <c r="D724" t="s">
        <v>791</v>
      </c>
      <c r="E724">
        <v>22296505</v>
      </c>
      <c r="F724">
        <v>22005150.010000002</v>
      </c>
      <c r="G724">
        <v>2256903.84</v>
      </c>
    </row>
    <row r="725" spans="1:7" x14ac:dyDescent="0.25">
      <c r="A725" s="1">
        <v>45566</v>
      </c>
      <c r="B725" t="s">
        <v>7</v>
      </c>
      <c r="C725" t="s">
        <v>788</v>
      </c>
      <c r="D725" t="s">
        <v>792</v>
      </c>
      <c r="E725">
        <v>24687923.420000002</v>
      </c>
      <c r="F725">
        <v>24577029.57</v>
      </c>
      <c r="G725">
        <v>770583.22</v>
      </c>
    </row>
    <row r="726" spans="1:7" x14ac:dyDescent="0.25">
      <c r="A726" s="1">
        <v>45536</v>
      </c>
      <c r="B726" t="s">
        <v>7</v>
      </c>
      <c r="C726" t="s">
        <v>788</v>
      </c>
      <c r="D726" t="s">
        <v>793</v>
      </c>
      <c r="E726">
        <v>24354436.710000001</v>
      </c>
      <c r="F726">
        <v>24420993.84</v>
      </c>
      <c r="G726">
        <v>467869.44</v>
      </c>
    </row>
    <row r="727" spans="1:7" x14ac:dyDescent="0.25">
      <c r="A727" s="1">
        <v>45323</v>
      </c>
      <c r="B727" t="s">
        <v>7</v>
      </c>
      <c r="C727" t="s">
        <v>788</v>
      </c>
      <c r="D727" t="s">
        <v>794</v>
      </c>
      <c r="E727">
        <v>20982366.07</v>
      </c>
      <c r="F727">
        <v>21231026.48</v>
      </c>
      <c r="G727">
        <v>2368531.7000000002</v>
      </c>
    </row>
    <row r="728" spans="1:7" x14ac:dyDescent="0.25">
      <c r="A728" s="1">
        <v>45627</v>
      </c>
      <c r="B728" t="s">
        <v>7</v>
      </c>
      <c r="C728" t="s">
        <v>788</v>
      </c>
      <c r="D728" t="s">
        <v>795</v>
      </c>
      <c r="E728">
        <v>32341881.16</v>
      </c>
      <c r="F728">
        <v>37022099.200000003</v>
      </c>
      <c r="G728">
        <v>1293447.3500000001</v>
      </c>
    </row>
    <row r="729" spans="1:7" x14ac:dyDescent="0.25">
      <c r="A729" s="1">
        <v>45352</v>
      </c>
      <c r="B729" t="s">
        <v>7</v>
      </c>
      <c r="C729" t="s">
        <v>788</v>
      </c>
      <c r="D729" t="s">
        <v>796</v>
      </c>
      <c r="E729">
        <v>22287532.66</v>
      </c>
      <c r="F729">
        <v>21599279.59</v>
      </c>
      <c r="G729">
        <v>3755865.2</v>
      </c>
    </row>
    <row r="730" spans="1:7" x14ac:dyDescent="0.25">
      <c r="A730" s="1">
        <v>45444</v>
      </c>
      <c r="B730" t="s">
        <v>7</v>
      </c>
      <c r="C730" t="s">
        <v>788</v>
      </c>
      <c r="D730" t="s">
        <v>797</v>
      </c>
      <c r="E730">
        <v>29339475.68</v>
      </c>
      <c r="F730">
        <v>24124195.68</v>
      </c>
      <c r="G730">
        <v>801536.06</v>
      </c>
    </row>
    <row r="731" spans="1:7" x14ac:dyDescent="0.25">
      <c r="A731" s="1">
        <v>45413</v>
      </c>
      <c r="B731" t="s">
        <v>7</v>
      </c>
      <c r="C731" t="s">
        <v>788</v>
      </c>
      <c r="D731" t="s">
        <v>798</v>
      </c>
      <c r="E731">
        <v>23643122.239999998</v>
      </c>
      <c r="F731">
        <v>22989434.629999999</v>
      </c>
      <c r="G731">
        <v>3419319.59</v>
      </c>
    </row>
    <row r="732" spans="1:7" x14ac:dyDescent="0.25">
      <c r="A732" s="1">
        <v>45505</v>
      </c>
      <c r="B732" t="s">
        <v>7</v>
      </c>
      <c r="C732" t="s">
        <v>788</v>
      </c>
      <c r="D732" t="s">
        <v>799</v>
      </c>
      <c r="E732">
        <v>23695337.170000002</v>
      </c>
      <c r="F732">
        <v>23800246.23</v>
      </c>
      <c r="G732">
        <v>380981.56</v>
      </c>
    </row>
    <row r="733" spans="1:7" x14ac:dyDescent="0.25">
      <c r="A733" s="1">
        <v>45597</v>
      </c>
      <c r="B733" t="s">
        <v>7</v>
      </c>
      <c r="C733" t="s">
        <v>788</v>
      </c>
      <c r="D733" t="s">
        <v>800</v>
      </c>
      <c r="E733">
        <v>36771942.25</v>
      </c>
      <c r="F733">
        <v>23627943.399999999</v>
      </c>
      <c r="G733">
        <v>546383.17000000004</v>
      </c>
    </row>
    <row r="734" spans="1:7" x14ac:dyDescent="0.25">
      <c r="A734" s="1">
        <v>45413</v>
      </c>
      <c r="B734" t="s">
        <v>7</v>
      </c>
      <c r="C734" t="s">
        <v>801</v>
      </c>
      <c r="D734" t="s">
        <v>802</v>
      </c>
      <c r="E734">
        <v>31797029.68</v>
      </c>
      <c r="F734">
        <v>29372362.690000001</v>
      </c>
      <c r="G734">
        <v>844745.93</v>
      </c>
    </row>
    <row r="735" spans="1:7" x14ac:dyDescent="0.25">
      <c r="A735" s="1">
        <v>45352</v>
      </c>
      <c r="B735" t="s">
        <v>7</v>
      </c>
      <c r="C735" t="s">
        <v>801</v>
      </c>
      <c r="D735" t="s">
        <v>803</v>
      </c>
      <c r="E735">
        <v>28263655.329999998</v>
      </c>
      <c r="F735">
        <v>31030487.32</v>
      </c>
      <c r="G735">
        <v>5453359.46</v>
      </c>
    </row>
    <row r="736" spans="1:7" x14ac:dyDescent="0.25">
      <c r="A736" s="1">
        <v>45383</v>
      </c>
      <c r="B736" t="s">
        <v>7</v>
      </c>
      <c r="C736" t="s">
        <v>801</v>
      </c>
      <c r="D736" t="s">
        <v>804</v>
      </c>
      <c r="E736">
        <v>29419355.690000001</v>
      </c>
      <c r="F736">
        <v>25581068.539999999</v>
      </c>
      <c r="G736">
        <v>2133592.1800000002</v>
      </c>
    </row>
    <row r="737" spans="1:7" x14ac:dyDescent="0.25">
      <c r="A737" s="1">
        <v>45444</v>
      </c>
      <c r="B737" t="s">
        <v>7</v>
      </c>
      <c r="C737" t="s">
        <v>801</v>
      </c>
      <c r="D737" t="s">
        <v>805</v>
      </c>
      <c r="E737">
        <v>35583423.109999999</v>
      </c>
      <c r="F737">
        <v>31540453.969999999</v>
      </c>
      <c r="G737">
        <v>2074579.3</v>
      </c>
    </row>
    <row r="738" spans="1:7" x14ac:dyDescent="0.25">
      <c r="A738" s="1">
        <v>45292</v>
      </c>
      <c r="B738" t="s">
        <v>7</v>
      </c>
      <c r="C738" t="s">
        <v>801</v>
      </c>
      <c r="D738" t="s">
        <v>806</v>
      </c>
      <c r="E738">
        <v>26148885.09</v>
      </c>
      <c r="F738">
        <v>5691487.0700000003</v>
      </c>
      <c r="G738">
        <v>34319903.950000003</v>
      </c>
    </row>
    <row r="739" spans="1:7" x14ac:dyDescent="0.25">
      <c r="A739" s="1">
        <v>45566</v>
      </c>
      <c r="B739" t="s">
        <v>7</v>
      </c>
      <c r="C739" t="s">
        <v>801</v>
      </c>
      <c r="D739" t="s">
        <v>807</v>
      </c>
      <c r="E739">
        <v>32704593.609999999</v>
      </c>
      <c r="F739">
        <v>32916735.129999999</v>
      </c>
      <c r="G739">
        <v>351588.93</v>
      </c>
    </row>
    <row r="740" spans="1:7" x14ac:dyDescent="0.25">
      <c r="A740" s="1">
        <v>45627</v>
      </c>
      <c r="B740" t="s">
        <v>7</v>
      </c>
      <c r="C740" t="s">
        <v>801</v>
      </c>
      <c r="D740" t="s">
        <v>808</v>
      </c>
      <c r="E740">
        <v>42973679.68</v>
      </c>
      <c r="F740">
        <v>44235228.799999997</v>
      </c>
      <c r="G740">
        <v>325060.46999999997</v>
      </c>
    </row>
    <row r="741" spans="1:7" x14ac:dyDescent="0.25">
      <c r="A741" s="1">
        <v>45474</v>
      </c>
      <c r="B741" t="s">
        <v>7</v>
      </c>
      <c r="C741" t="s">
        <v>801</v>
      </c>
      <c r="D741" t="s">
        <v>809</v>
      </c>
      <c r="E741">
        <v>33599309.899999999</v>
      </c>
      <c r="F741">
        <v>37215437.920000002</v>
      </c>
      <c r="G741">
        <v>829639.37</v>
      </c>
    </row>
    <row r="742" spans="1:7" x14ac:dyDescent="0.25">
      <c r="A742" s="1">
        <v>45505</v>
      </c>
      <c r="B742" t="s">
        <v>7</v>
      </c>
      <c r="C742" t="s">
        <v>801</v>
      </c>
      <c r="D742" t="s">
        <v>810</v>
      </c>
      <c r="E742">
        <v>32175053.510000002</v>
      </c>
      <c r="F742">
        <v>32886927.07</v>
      </c>
      <c r="G742">
        <v>840189.9</v>
      </c>
    </row>
    <row r="743" spans="1:7" x14ac:dyDescent="0.25">
      <c r="A743" s="1">
        <v>45597</v>
      </c>
      <c r="B743" t="s">
        <v>7</v>
      </c>
      <c r="C743" t="s">
        <v>801</v>
      </c>
      <c r="D743" t="s">
        <v>811</v>
      </c>
      <c r="E743">
        <v>50516169.399999999</v>
      </c>
      <c r="F743">
        <v>42029265.969999999</v>
      </c>
      <c r="G743">
        <v>91226.6</v>
      </c>
    </row>
    <row r="744" spans="1:7" x14ac:dyDescent="0.25">
      <c r="A744" s="1">
        <v>45536</v>
      </c>
      <c r="B744" t="s">
        <v>7</v>
      </c>
      <c r="C744" t="s">
        <v>801</v>
      </c>
      <c r="D744" t="s">
        <v>812</v>
      </c>
      <c r="E744">
        <v>32173856.98</v>
      </c>
      <c r="F744">
        <v>31574389.620000001</v>
      </c>
      <c r="G744">
        <v>134102.91</v>
      </c>
    </row>
    <row r="745" spans="1:7" x14ac:dyDescent="0.25">
      <c r="A745" s="1">
        <v>45323</v>
      </c>
      <c r="B745" t="s">
        <v>7</v>
      </c>
      <c r="C745" t="s">
        <v>801</v>
      </c>
      <c r="D745" t="s">
        <v>813</v>
      </c>
      <c r="E745">
        <v>26112072.609999999</v>
      </c>
      <c r="F745">
        <v>26513388.18</v>
      </c>
      <c r="G745">
        <v>4190733.49</v>
      </c>
    </row>
    <row r="746" spans="1:7" x14ac:dyDescent="0.25">
      <c r="A746" s="1">
        <v>45444</v>
      </c>
      <c r="B746" t="s">
        <v>7</v>
      </c>
      <c r="C746" t="s">
        <v>814</v>
      </c>
      <c r="D746" t="s">
        <v>815</v>
      </c>
      <c r="E746">
        <v>50155500.149999999</v>
      </c>
      <c r="F746">
        <v>42253923.170000002</v>
      </c>
      <c r="G746">
        <v>2115897.65</v>
      </c>
    </row>
    <row r="747" spans="1:7" x14ac:dyDescent="0.25">
      <c r="A747" s="1">
        <v>45474</v>
      </c>
      <c r="B747" t="s">
        <v>7</v>
      </c>
      <c r="C747" t="s">
        <v>814</v>
      </c>
      <c r="D747" t="s">
        <v>816</v>
      </c>
      <c r="E747">
        <v>42375073.759999998</v>
      </c>
      <c r="F747">
        <v>45658737.25</v>
      </c>
      <c r="G747">
        <v>1463956.5</v>
      </c>
    </row>
    <row r="748" spans="1:7" x14ac:dyDescent="0.25">
      <c r="A748" s="1">
        <v>45383</v>
      </c>
      <c r="B748" t="s">
        <v>7</v>
      </c>
      <c r="C748" t="s">
        <v>814</v>
      </c>
      <c r="D748" t="s">
        <v>817</v>
      </c>
      <c r="E748">
        <v>39224395.009999998</v>
      </c>
      <c r="F748">
        <v>37985412.5</v>
      </c>
      <c r="G748">
        <v>3872338.72</v>
      </c>
    </row>
    <row r="749" spans="1:7" x14ac:dyDescent="0.25">
      <c r="A749" s="1">
        <v>45352</v>
      </c>
      <c r="B749" t="s">
        <v>7</v>
      </c>
      <c r="C749" t="s">
        <v>814</v>
      </c>
      <c r="D749" t="s">
        <v>818</v>
      </c>
      <c r="E749">
        <v>38970496.859999999</v>
      </c>
      <c r="F749">
        <v>41932326.609999999</v>
      </c>
      <c r="G749">
        <v>7287483.3799999999</v>
      </c>
    </row>
    <row r="750" spans="1:7" x14ac:dyDescent="0.25">
      <c r="A750" s="1">
        <v>45536</v>
      </c>
      <c r="B750" t="s">
        <v>7</v>
      </c>
      <c r="C750" t="s">
        <v>814</v>
      </c>
      <c r="D750" t="s">
        <v>819</v>
      </c>
      <c r="E750">
        <v>42220889.729999997</v>
      </c>
      <c r="F750">
        <v>43549271.880000003</v>
      </c>
      <c r="G750">
        <v>1191914.69</v>
      </c>
    </row>
    <row r="751" spans="1:7" x14ac:dyDescent="0.25">
      <c r="A751" s="1">
        <v>45566</v>
      </c>
      <c r="B751" t="s">
        <v>7</v>
      </c>
      <c r="C751" t="s">
        <v>814</v>
      </c>
      <c r="D751" t="s">
        <v>820</v>
      </c>
      <c r="E751">
        <v>41702570.810000002</v>
      </c>
      <c r="F751">
        <v>42540666.75</v>
      </c>
      <c r="G751">
        <v>965584.32</v>
      </c>
    </row>
    <row r="752" spans="1:7" x14ac:dyDescent="0.25">
      <c r="A752" s="1">
        <v>45597</v>
      </c>
      <c r="B752" t="s">
        <v>7</v>
      </c>
      <c r="C752" t="s">
        <v>814</v>
      </c>
      <c r="D752" t="s">
        <v>821</v>
      </c>
      <c r="E752">
        <v>64469407.409999996</v>
      </c>
      <c r="F752">
        <v>48731888.93</v>
      </c>
      <c r="G752">
        <v>752071.69</v>
      </c>
    </row>
    <row r="753" spans="1:7" x14ac:dyDescent="0.25">
      <c r="A753" s="1">
        <v>45627</v>
      </c>
      <c r="B753" t="s">
        <v>7</v>
      </c>
      <c r="C753" t="s">
        <v>814</v>
      </c>
      <c r="D753" t="s">
        <v>822</v>
      </c>
      <c r="E753">
        <v>62344701.789999999</v>
      </c>
      <c r="F753">
        <v>58522379.32</v>
      </c>
      <c r="G753">
        <v>1904565.61</v>
      </c>
    </row>
    <row r="754" spans="1:7" x14ac:dyDescent="0.25">
      <c r="A754" s="1">
        <v>45413</v>
      </c>
      <c r="B754" t="s">
        <v>7</v>
      </c>
      <c r="C754" t="s">
        <v>814</v>
      </c>
      <c r="D754" t="s">
        <v>823</v>
      </c>
      <c r="E754">
        <v>41986861.159999996</v>
      </c>
      <c r="F754">
        <v>40499982.850000001</v>
      </c>
      <c r="G754">
        <v>3441778.78</v>
      </c>
    </row>
    <row r="755" spans="1:7" x14ac:dyDescent="0.25">
      <c r="A755" s="1">
        <v>45505</v>
      </c>
      <c r="B755" t="s">
        <v>7</v>
      </c>
      <c r="C755" t="s">
        <v>814</v>
      </c>
      <c r="D755" t="s">
        <v>824</v>
      </c>
      <c r="E755">
        <v>43564444.969999999</v>
      </c>
      <c r="F755">
        <v>47214504.200000003</v>
      </c>
      <c r="G755">
        <v>954244.42</v>
      </c>
    </row>
    <row r="756" spans="1:7" x14ac:dyDescent="0.25">
      <c r="A756" s="1">
        <v>45292</v>
      </c>
      <c r="B756" t="s">
        <v>7</v>
      </c>
      <c r="C756" t="s">
        <v>814</v>
      </c>
      <c r="D756" t="s">
        <v>825</v>
      </c>
      <c r="E756">
        <v>35935533.93</v>
      </c>
      <c r="F756">
        <v>7024035.0099999998</v>
      </c>
      <c r="G756">
        <v>43078680.799999997</v>
      </c>
    </row>
    <row r="757" spans="1:7" x14ac:dyDescent="0.25">
      <c r="A757" s="1">
        <v>45323</v>
      </c>
      <c r="B757" t="s">
        <v>7</v>
      </c>
      <c r="C757" t="s">
        <v>814</v>
      </c>
      <c r="D757" t="s">
        <v>826</v>
      </c>
      <c r="E757">
        <v>37082228.130000003</v>
      </c>
      <c r="F757">
        <v>31914531.390000001</v>
      </c>
      <c r="G757">
        <v>8974923.2599999998</v>
      </c>
    </row>
    <row r="758" spans="1:7" x14ac:dyDescent="0.25">
      <c r="A758" s="1">
        <v>45323</v>
      </c>
      <c r="B758" t="s">
        <v>7</v>
      </c>
      <c r="C758" t="s">
        <v>827</v>
      </c>
      <c r="D758" t="s">
        <v>828</v>
      </c>
      <c r="E758">
        <v>32279969.559999999</v>
      </c>
      <c r="F758">
        <v>31732586.68</v>
      </c>
      <c r="G758">
        <v>9156345.6600000001</v>
      </c>
    </row>
    <row r="759" spans="1:7" x14ac:dyDescent="0.25">
      <c r="A759" s="1">
        <v>45566</v>
      </c>
      <c r="B759" t="s">
        <v>7</v>
      </c>
      <c r="C759" t="s">
        <v>827</v>
      </c>
      <c r="D759" t="s">
        <v>829</v>
      </c>
      <c r="E759">
        <v>34728415.439999998</v>
      </c>
      <c r="F759">
        <v>35879633.710000001</v>
      </c>
      <c r="G759">
        <v>713741.8</v>
      </c>
    </row>
    <row r="760" spans="1:7" x14ac:dyDescent="0.25">
      <c r="A760" s="1">
        <v>45627</v>
      </c>
      <c r="B760" t="s">
        <v>7</v>
      </c>
      <c r="C760" t="s">
        <v>827</v>
      </c>
      <c r="D760" t="s">
        <v>830</v>
      </c>
      <c r="E760">
        <v>49997144.82</v>
      </c>
      <c r="F760">
        <v>40010119.700000003</v>
      </c>
      <c r="G760">
        <v>1869378.83</v>
      </c>
    </row>
    <row r="761" spans="1:7" x14ac:dyDescent="0.25">
      <c r="A761" s="1">
        <v>45292</v>
      </c>
      <c r="B761" t="s">
        <v>7</v>
      </c>
      <c r="C761" t="s">
        <v>827</v>
      </c>
      <c r="D761" t="s">
        <v>831</v>
      </c>
      <c r="E761">
        <v>27643709.149999999</v>
      </c>
      <c r="F761">
        <v>6970128.54</v>
      </c>
      <c r="G761">
        <v>32349111.66</v>
      </c>
    </row>
    <row r="762" spans="1:7" x14ac:dyDescent="0.25">
      <c r="A762" s="1">
        <v>45413</v>
      </c>
      <c r="B762" t="s">
        <v>7</v>
      </c>
      <c r="C762" t="s">
        <v>827</v>
      </c>
      <c r="D762" t="s">
        <v>832</v>
      </c>
      <c r="E762">
        <v>33804266.109999999</v>
      </c>
      <c r="F762">
        <v>32919023.329999998</v>
      </c>
      <c r="G762">
        <v>3218354.64</v>
      </c>
    </row>
    <row r="763" spans="1:7" x14ac:dyDescent="0.25">
      <c r="A763" s="1">
        <v>45444</v>
      </c>
      <c r="B763" t="s">
        <v>7</v>
      </c>
      <c r="C763" t="s">
        <v>827</v>
      </c>
      <c r="D763" t="s">
        <v>833</v>
      </c>
      <c r="E763">
        <v>37595229.880000003</v>
      </c>
      <c r="F763">
        <v>33452382.16</v>
      </c>
      <c r="G763">
        <v>846038.83</v>
      </c>
    </row>
    <row r="764" spans="1:7" x14ac:dyDescent="0.25">
      <c r="A764" s="1">
        <v>45474</v>
      </c>
      <c r="B764" t="s">
        <v>7</v>
      </c>
      <c r="C764" t="s">
        <v>827</v>
      </c>
      <c r="D764" t="s">
        <v>834</v>
      </c>
      <c r="E764">
        <v>33305419.460000001</v>
      </c>
      <c r="F764">
        <v>38214735.310000002</v>
      </c>
      <c r="G764">
        <v>2345742.5</v>
      </c>
    </row>
    <row r="765" spans="1:7" x14ac:dyDescent="0.25">
      <c r="A765" s="1">
        <v>45352</v>
      </c>
      <c r="B765" t="s">
        <v>7</v>
      </c>
      <c r="C765" t="s">
        <v>827</v>
      </c>
      <c r="D765" t="s">
        <v>835</v>
      </c>
      <c r="E765">
        <v>30649727.57</v>
      </c>
      <c r="F765">
        <v>30263024.559999999</v>
      </c>
      <c r="G765">
        <v>2901945.09</v>
      </c>
    </row>
    <row r="766" spans="1:7" x14ac:dyDescent="0.25">
      <c r="A766" s="1">
        <v>45505</v>
      </c>
      <c r="B766" t="s">
        <v>7</v>
      </c>
      <c r="C766" t="s">
        <v>827</v>
      </c>
      <c r="D766" t="s">
        <v>836</v>
      </c>
      <c r="E766">
        <v>37376850.619999997</v>
      </c>
      <c r="F766">
        <v>35104674.170000002</v>
      </c>
      <c r="G766">
        <v>531844.59</v>
      </c>
    </row>
    <row r="767" spans="1:7" x14ac:dyDescent="0.25">
      <c r="A767" s="1">
        <v>45597</v>
      </c>
      <c r="B767" t="s">
        <v>7</v>
      </c>
      <c r="C767" t="s">
        <v>827</v>
      </c>
      <c r="D767" t="s">
        <v>837</v>
      </c>
      <c r="E767">
        <v>53991224.299999997</v>
      </c>
      <c r="F767">
        <v>45141042.880000003</v>
      </c>
      <c r="G767">
        <v>368326.1</v>
      </c>
    </row>
    <row r="768" spans="1:7" x14ac:dyDescent="0.25">
      <c r="A768" s="1">
        <v>45383</v>
      </c>
      <c r="B768" t="s">
        <v>7</v>
      </c>
      <c r="C768" t="s">
        <v>827</v>
      </c>
      <c r="D768" t="s">
        <v>838</v>
      </c>
      <c r="E768">
        <v>32117825.34</v>
      </c>
      <c r="F768">
        <v>31318220.530000001</v>
      </c>
      <c r="G768">
        <v>4181789.78</v>
      </c>
    </row>
    <row r="769" spans="1:7" x14ac:dyDescent="0.25">
      <c r="A769" s="1">
        <v>45536</v>
      </c>
      <c r="B769" t="s">
        <v>7</v>
      </c>
      <c r="C769" t="s">
        <v>827</v>
      </c>
      <c r="D769" t="s">
        <v>839</v>
      </c>
      <c r="E769">
        <v>34835388.450000003</v>
      </c>
      <c r="F769">
        <v>34956081.5</v>
      </c>
      <c r="G769">
        <v>1644619.92</v>
      </c>
    </row>
    <row r="770" spans="1:7" x14ac:dyDescent="0.25">
      <c r="A770" s="1">
        <v>45383</v>
      </c>
      <c r="B770" t="s">
        <v>7</v>
      </c>
      <c r="C770" t="s">
        <v>840</v>
      </c>
      <c r="D770" t="s">
        <v>841</v>
      </c>
      <c r="E770">
        <v>42745474.030000001</v>
      </c>
      <c r="F770">
        <v>42715579.43</v>
      </c>
      <c r="G770">
        <v>3779372.04</v>
      </c>
    </row>
    <row r="771" spans="1:7" x14ac:dyDescent="0.25">
      <c r="A771" s="1">
        <v>45352</v>
      </c>
      <c r="B771" t="s">
        <v>7</v>
      </c>
      <c r="C771" t="s">
        <v>840</v>
      </c>
      <c r="D771" t="s">
        <v>842</v>
      </c>
      <c r="E771">
        <v>42854884.82</v>
      </c>
      <c r="F771">
        <v>41417167.869999997</v>
      </c>
      <c r="G771">
        <v>4123273.8</v>
      </c>
    </row>
    <row r="772" spans="1:7" x14ac:dyDescent="0.25">
      <c r="A772" s="1">
        <v>45444</v>
      </c>
      <c r="B772" t="s">
        <v>7</v>
      </c>
      <c r="C772" t="s">
        <v>840</v>
      </c>
      <c r="D772" t="s">
        <v>843</v>
      </c>
      <c r="E772">
        <v>52319248.270000003</v>
      </c>
      <c r="F772">
        <v>46091090.68</v>
      </c>
      <c r="G772">
        <v>209984.54</v>
      </c>
    </row>
    <row r="773" spans="1:7" x14ac:dyDescent="0.25">
      <c r="A773" s="1">
        <v>45505</v>
      </c>
      <c r="B773" t="s">
        <v>7</v>
      </c>
      <c r="C773" t="s">
        <v>840</v>
      </c>
      <c r="D773" t="s">
        <v>844</v>
      </c>
      <c r="E773">
        <v>46631066.130000003</v>
      </c>
      <c r="F773">
        <v>47660229.75</v>
      </c>
      <c r="G773">
        <v>516812.1</v>
      </c>
    </row>
    <row r="774" spans="1:7" x14ac:dyDescent="0.25">
      <c r="A774" s="1">
        <v>45413</v>
      </c>
      <c r="B774" t="s">
        <v>7</v>
      </c>
      <c r="C774" t="s">
        <v>840</v>
      </c>
      <c r="D774" t="s">
        <v>845</v>
      </c>
      <c r="E774">
        <v>46186430.210000001</v>
      </c>
      <c r="F774">
        <v>43366014.490000002</v>
      </c>
      <c r="G774">
        <v>370173.08</v>
      </c>
    </row>
    <row r="775" spans="1:7" x14ac:dyDescent="0.25">
      <c r="A775" s="1">
        <v>45536</v>
      </c>
      <c r="B775" t="s">
        <v>7</v>
      </c>
      <c r="C775" t="s">
        <v>840</v>
      </c>
      <c r="D775" t="s">
        <v>846</v>
      </c>
      <c r="E775">
        <v>45735421.740000002</v>
      </c>
      <c r="F775">
        <v>45718386.829999998</v>
      </c>
      <c r="G775">
        <v>185965</v>
      </c>
    </row>
    <row r="776" spans="1:7" x14ac:dyDescent="0.25">
      <c r="A776" s="1">
        <v>45627</v>
      </c>
      <c r="B776" t="s">
        <v>7</v>
      </c>
      <c r="C776" t="s">
        <v>840</v>
      </c>
      <c r="D776" t="s">
        <v>847</v>
      </c>
      <c r="E776">
        <v>84688635.709999993</v>
      </c>
      <c r="F776">
        <v>59059338</v>
      </c>
      <c r="G776">
        <v>2221772.42</v>
      </c>
    </row>
    <row r="777" spans="1:7" x14ac:dyDescent="0.25">
      <c r="A777" s="1">
        <v>45566</v>
      </c>
      <c r="B777" t="s">
        <v>7</v>
      </c>
      <c r="C777" t="s">
        <v>840</v>
      </c>
      <c r="D777" t="s">
        <v>848</v>
      </c>
      <c r="E777">
        <v>46711998.07</v>
      </c>
      <c r="F777">
        <v>46748098.439999998</v>
      </c>
      <c r="G777">
        <v>697547.12</v>
      </c>
    </row>
    <row r="778" spans="1:7" x14ac:dyDescent="0.25">
      <c r="A778" s="1">
        <v>45292</v>
      </c>
      <c r="B778" t="s">
        <v>7</v>
      </c>
      <c r="C778" t="s">
        <v>840</v>
      </c>
      <c r="D778" t="s">
        <v>849</v>
      </c>
      <c r="E778">
        <v>39633768.469999999</v>
      </c>
      <c r="F778">
        <v>8236158.54</v>
      </c>
      <c r="G778">
        <v>56492333.280000001</v>
      </c>
    </row>
    <row r="779" spans="1:7" x14ac:dyDescent="0.25">
      <c r="A779" s="1">
        <v>45323</v>
      </c>
      <c r="B779" t="s">
        <v>7</v>
      </c>
      <c r="C779" t="s">
        <v>840</v>
      </c>
      <c r="D779" t="s">
        <v>850</v>
      </c>
      <c r="E779">
        <v>39745399.850000001</v>
      </c>
      <c r="F779">
        <v>35685965.219999999</v>
      </c>
      <c r="G779">
        <v>10118743.449999999</v>
      </c>
    </row>
    <row r="780" spans="1:7" x14ac:dyDescent="0.25">
      <c r="A780" s="1">
        <v>45474</v>
      </c>
      <c r="B780" t="s">
        <v>7</v>
      </c>
      <c r="C780" t="s">
        <v>840</v>
      </c>
      <c r="D780" t="s">
        <v>851</v>
      </c>
      <c r="E780">
        <v>46638864.200000003</v>
      </c>
      <c r="F780">
        <v>52255815.740000002</v>
      </c>
      <c r="G780">
        <v>434079.43</v>
      </c>
    </row>
    <row r="781" spans="1:7" x14ac:dyDescent="0.25">
      <c r="A781" s="1">
        <v>45597</v>
      </c>
      <c r="B781" t="s">
        <v>7</v>
      </c>
      <c r="C781" t="s">
        <v>840</v>
      </c>
      <c r="D781" t="s">
        <v>852</v>
      </c>
      <c r="E781">
        <v>66859869.25</v>
      </c>
      <c r="F781">
        <v>54234449.149999999</v>
      </c>
      <c r="G781">
        <v>278101.99</v>
      </c>
    </row>
    <row r="782" spans="1:7" x14ac:dyDescent="0.25">
      <c r="A782" s="1">
        <v>45352</v>
      </c>
      <c r="B782" t="s">
        <v>7</v>
      </c>
      <c r="C782" t="s">
        <v>853</v>
      </c>
      <c r="D782" t="s">
        <v>854</v>
      </c>
      <c r="E782">
        <v>43228013</v>
      </c>
      <c r="F782">
        <v>41619647.420000002</v>
      </c>
      <c r="G782">
        <v>5172822.54</v>
      </c>
    </row>
    <row r="783" spans="1:7" x14ac:dyDescent="0.25">
      <c r="A783" s="1">
        <v>45444</v>
      </c>
      <c r="B783" t="s">
        <v>7</v>
      </c>
      <c r="C783" t="s">
        <v>853</v>
      </c>
      <c r="D783" t="s">
        <v>855</v>
      </c>
      <c r="E783">
        <v>61725663.710000001</v>
      </c>
      <c r="F783">
        <v>49382456.369999997</v>
      </c>
      <c r="G783">
        <v>2027660.81</v>
      </c>
    </row>
    <row r="784" spans="1:7" x14ac:dyDescent="0.25">
      <c r="A784" s="1">
        <v>45566</v>
      </c>
      <c r="B784" t="s">
        <v>7</v>
      </c>
      <c r="C784" t="s">
        <v>853</v>
      </c>
      <c r="D784" t="s">
        <v>856</v>
      </c>
      <c r="E784">
        <v>48692700.399999999</v>
      </c>
      <c r="F784">
        <v>48357763.969999999</v>
      </c>
      <c r="G784">
        <v>912565.58</v>
      </c>
    </row>
    <row r="785" spans="1:7" x14ac:dyDescent="0.25">
      <c r="A785" s="1">
        <v>45505</v>
      </c>
      <c r="B785" t="s">
        <v>7</v>
      </c>
      <c r="C785" t="s">
        <v>853</v>
      </c>
      <c r="D785" t="s">
        <v>857</v>
      </c>
      <c r="E785">
        <v>46442503.740000002</v>
      </c>
      <c r="F785">
        <v>46531002.490000002</v>
      </c>
      <c r="G785">
        <v>891278.59</v>
      </c>
    </row>
    <row r="786" spans="1:7" x14ac:dyDescent="0.25">
      <c r="A786" s="1">
        <v>45536</v>
      </c>
      <c r="B786" t="s">
        <v>7</v>
      </c>
      <c r="C786" t="s">
        <v>853</v>
      </c>
      <c r="D786" t="s">
        <v>858</v>
      </c>
      <c r="E786">
        <v>48186573.5</v>
      </c>
      <c r="F786">
        <v>46318445.030000001</v>
      </c>
      <c r="G786">
        <v>1233695.79</v>
      </c>
    </row>
    <row r="787" spans="1:7" x14ac:dyDescent="0.25">
      <c r="A787" s="1">
        <v>45474</v>
      </c>
      <c r="B787" t="s">
        <v>7</v>
      </c>
      <c r="C787" t="s">
        <v>853</v>
      </c>
      <c r="D787" t="s">
        <v>859</v>
      </c>
      <c r="E787">
        <v>46095848.240000002</v>
      </c>
      <c r="F787">
        <v>60749251.539999999</v>
      </c>
      <c r="G787">
        <v>1797702.43</v>
      </c>
    </row>
    <row r="788" spans="1:7" x14ac:dyDescent="0.25">
      <c r="A788" s="1">
        <v>45323</v>
      </c>
      <c r="B788" t="s">
        <v>7</v>
      </c>
      <c r="C788" t="s">
        <v>853</v>
      </c>
      <c r="D788" t="s">
        <v>860</v>
      </c>
      <c r="E788">
        <v>40274356.200000003</v>
      </c>
      <c r="F788">
        <v>34923904.109999999</v>
      </c>
      <c r="G788">
        <v>11009926.869999999</v>
      </c>
    </row>
    <row r="789" spans="1:7" x14ac:dyDescent="0.25">
      <c r="A789" s="1">
        <v>45292</v>
      </c>
      <c r="B789" t="s">
        <v>7</v>
      </c>
      <c r="C789" t="s">
        <v>853</v>
      </c>
      <c r="D789" t="s">
        <v>861</v>
      </c>
      <c r="E789">
        <v>39273634.149999999</v>
      </c>
      <c r="F789">
        <v>8598432.6899999995</v>
      </c>
      <c r="G789">
        <v>48886469.829999998</v>
      </c>
    </row>
    <row r="790" spans="1:7" x14ac:dyDescent="0.25">
      <c r="A790" s="1">
        <v>45627</v>
      </c>
      <c r="B790" t="s">
        <v>7</v>
      </c>
      <c r="C790" t="s">
        <v>853</v>
      </c>
      <c r="D790" t="s">
        <v>862</v>
      </c>
      <c r="E790">
        <v>61837004</v>
      </c>
      <c r="F790">
        <v>63390431.880000003</v>
      </c>
      <c r="G790">
        <v>1390236.42</v>
      </c>
    </row>
    <row r="791" spans="1:7" x14ac:dyDescent="0.25">
      <c r="A791" s="1">
        <v>45383</v>
      </c>
      <c r="B791" t="s">
        <v>7</v>
      </c>
      <c r="C791" t="s">
        <v>853</v>
      </c>
      <c r="D791" t="s">
        <v>863</v>
      </c>
      <c r="E791">
        <v>44541882.090000004</v>
      </c>
      <c r="F791">
        <v>43692181.380000003</v>
      </c>
      <c r="G791">
        <v>3360062.51</v>
      </c>
    </row>
    <row r="792" spans="1:7" x14ac:dyDescent="0.25">
      <c r="A792" s="1">
        <v>45413</v>
      </c>
      <c r="B792" t="s">
        <v>7</v>
      </c>
      <c r="C792" t="s">
        <v>853</v>
      </c>
      <c r="D792" t="s">
        <v>864</v>
      </c>
      <c r="E792">
        <v>50100658.490000002</v>
      </c>
      <c r="F792">
        <v>46009058.229999997</v>
      </c>
      <c r="G792">
        <v>3736335.8</v>
      </c>
    </row>
    <row r="793" spans="1:7" x14ac:dyDescent="0.25">
      <c r="A793" s="1">
        <v>45597</v>
      </c>
      <c r="B793" t="s">
        <v>7</v>
      </c>
      <c r="C793" t="s">
        <v>853</v>
      </c>
      <c r="D793" t="s">
        <v>865</v>
      </c>
      <c r="E793">
        <v>72128391.659999996</v>
      </c>
      <c r="F793">
        <v>57997975.109999999</v>
      </c>
      <c r="G793">
        <v>806202.27</v>
      </c>
    </row>
    <row r="794" spans="1:7" x14ac:dyDescent="0.25">
      <c r="A794" s="1">
        <v>45323</v>
      </c>
      <c r="B794" t="s">
        <v>7</v>
      </c>
      <c r="C794" t="s">
        <v>866</v>
      </c>
      <c r="D794" t="s">
        <v>867</v>
      </c>
      <c r="E794">
        <v>12200419.130000001</v>
      </c>
      <c r="F794">
        <v>10818394.57</v>
      </c>
      <c r="G794">
        <v>115652095.09</v>
      </c>
    </row>
    <row r="795" spans="1:7" x14ac:dyDescent="0.25">
      <c r="A795" s="1">
        <v>45566</v>
      </c>
      <c r="B795" t="s">
        <v>7</v>
      </c>
      <c r="C795" t="s">
        <v>866</v>
      </c>
      <c r="D795" t="s">
        <v>868</v>
      </c>
      <c r="E795">
        <v>84529815.849999994</v>
      </c>
      <c r="F795">
        <v>86506367.129999995</v>
      </c>
      <c r="G795">
        <v>8830877.1400000006</v>
      </c>
    </row>
    <row r="796" spans="1:7" x14ac:dyDescent="0.25">
      <c r="A796" s="1">
        <v>45383</v>
      </c>
      <c r="B796" t="s">
        <v>7</v>
      </c>
      <c r="C796" t="s">
        <v>866</v>
      </c>
      <c r="D796" t="s">
        <v>869</v>
      </c>
      <c r="E796">
        <v>24026184.75</v>
      </c>
      <c r="F796">
        <v>24449788.960000001</v>
      </c>
      <c r="G796">
        <v>37174835.990000002</v>
      </c>
    </row>
    <row r="797" spans="1:7" x14ac:dyDescent="0.25">
      <c r="A797" s="1">
        <v>45352</v>
      </c>
      <c r="B797" t="s">
        <v>7</v>
      </c>
      <c r="C797" t="s">
        <v>866</v>
      </c>
      <c r="D797" t="s">
        <v>870</v>
      </c>
      <c r="E797">
        <v>24583764.48</v>
      </c>
      <c r="F797">
        <v>22426827.550000001</v>
      </c>
      <c r="G797">
        <v>41182884.840000004</v>
      </c>
    </row>
    <row r="798" spans="1:7" x14ac:dyDescent="0.25">
      <c r="A798" s="1">
        <v>45505</v>
      </c>
      <c r="B798" t="s">
        <v>7</v>
      </c>
      <c r="C798" t="s">
        <v>866</v>
      </c>
      <c r="D798" t="s">
        <v>871</v>
      </c>
      <c r="E798">
        <v>27448763.34</v>
      </c>
      <c r="F798">
        <v>29449201.98</v>
      </c>
      <c r="G798">
        <v>695207.89</v>
      </c>
    </row>
    <row r="799" spans="1:7" x14ac:dyDescent="0.25">
      <c r="A799" s="1">
        <v>45474</v>
      </c>
      <c r="B799" t="s">
        <v>7</v>
      </c>
      <c r="C799" t="s">
        <v>866</v>
      </c>
      <c r="D799" t="s">
        <v>872</v>
      </c>
      <c r="E799">
        <v>42423497.630000003</v>
      </c>
      <c r="F799">
        <v>47848337.140000001</v>
      </c>
      <c r="G799">
        <v>14822404.73</v>
      </c>
    </row>
    <row r="800" spans="1:7" x14ac:dyDescent="0.25">
      <c r="A800" s="1">
        <v>45627</v>
      </c>
      <c r="B800" t="s">
        <v>7</v>
      </c>
      <c r="C800" t="s">
        <v>866</v>
      </c>
      <c r="D800" t="s">
        <v>873</v>
      </c>
      <c r="E800">
        <v>298972091.45999998</v>
      </c>
      <c r="F800">
        <v>297037838.13</v>
      </c>
      <c r="G800">
        <v>3056545.67</v>
      </c>
    </row>
    <row r="801" spans="1:7" x14ac:dyDescent="0.25">
      <c r="A801" s="1">
        <v>45597</v>
      </c>
      <c r="B801" t="s">
        <v>7</v>
      </c>
      <c r="C801" t="s">
        <v>866</v>
      </c>
      <c r="D801" t="s">
        <v>874</v>
      </c>
      <c r="E801">
        <v>77199269.099999994</v>
      </c>
      <c r="F801">
        <v>70393805.290000007</v>
      </c>
      <c r="G801">
        <v>2427.84</v>
      </c>
    </row>
    <row r="802" spans="1:7" x14ac:dyDescent="0.25">
      <c r="A802" s="1">
        <v>45292</v>
      </c>
      <c r="B802" t="s">
        <v>7</v>
      </c>
      <c r="C802" t="s">
        <v>866</v>
      </c>
      <c r="D802" t="s">
        <v>875</v>
      </c>
      <c r="E802">
        <v>7842273.1900000004</v>
      </c>
      <c r="F802">
        <v>1562532.15</v>
      </c>
      <c r="G802">
        <v>99666050.260000005</v>
      </c>
    </row>
    <row r="803" spans="1:7" x14ac:dyDescent="0.25">
      <c r="A803" s="1">
        <v>45444</v>
      </c>
      <c r="B803" t="s">
        <v>7</v>
      </c>
      <c r="C803" t="s">
        <v>866</v>
      </c>
      <c r="D803" t="s">
        <v>876</v>
      </c>
      <c r="E803">
        <v>46393363.280000001</v>
      </c>
      <c r="F803">
        <v>38514349.549999997</v>
      </c>
      <c r="G803">
        <v>23100545.260000002</v>
      </c>
    </row>
    <row r="804" spans="1:7" x14ac:dyDescent="0.25">
      <c r="A804" s="1">
        <v>45413</v>
      </c>
      <c r="B804" t="s">
        <v>7</v>
      </c>
      <c r="C804" t="s">
        <v>866</v>
      </c>
      <c r="D804" t="s">
        <v>877</v>
      </c>
      <c r="E804">
        <v>30856652.219999999</v>
      </c>
      <c r="F804">
        <v>31449361.91</v>
      </c>
      <c r="G804">
        <v>9397178.9499999993</v>
      </c>
    </row>
    <row r="805" spans="1:7" x14ac:dyDescent="0.25">
      <c r="A805" s="1">
        <v>45536</v>
      </c>
      <c r="B805" t="s">
        <v>7</v>
      </c>
      <c r="C805" t="s">
        <v>866</v>
      </c>
      <c r="D805" t="s">
        <v>878</v>
      </c>
      <c r="E805">
        <v>51702858.829999998</v>
      </c>
      <c r="F805">
        <v>48742728.909999996</v>
      </c>
      <c r="G805">
        <v>4479908.0999999996</v>
      </c>
    </row>
    <row r="806" spans="1:7" x14ac:dyDescent="0.25">
      <c r="A806" s="1">
        <v>45444</v>
      </c>
      <c r="B806" t="s">
        <v>7</v>
      </c>
      <c r="C806" t="s">
        <v>879</v>
      </c>
      <c r="D806" t="s">
        <v>880</v>
      </c>
      <c r="E806">
        <v>106457305.59999999</v>
      </c>
      <c r="F806">
        <v>89150231.900000006</v>
      </c>
      <c r="G806">
        <v>13391070.25</v>
      </c>
    </row>
    <row r="807" spans="1:7" x14ac:dyDescent="0.25">
      <c r="A807" s="1">
        <v>45505</v>
      </c>
      <c r="B807" t="s">
        <v>7</v>
      </c>
      <c r="C807" t="s">
        <v>879</v>
      </c>
      <c r="D807" t="s">
        <v>881</v>
      </c>
      <c r="E807">
        <v>160110415.41</v>
      </c>
      <c r="F807">
        <v>159374262.19</v>
      </c>
      <c r="G807">
        <v>4964362.1399999997</v>
      </c>
    </row>
    <row r="808" spans="1:7" x14ac:dyDescent="0.25">
      <c r="A808" s="1">
        <v>45323</v>
      </c>
      <c r="B808" t="s">
        <v>7</v>
      </c>
      <c r="C808" t="s">
        <v>879</v>
      </c>
      <c r="D808" t="s">
        <v>882</v>
      </c>
      <c r="E808">
        <v>65671563.899999999</v>
      </c>
      <c r="F808">
        <v>48903356.469999999</v>
      </c>
      <c r="G808">
        <v>26553566.98</v>
      </c>
    </row>
    <row r="809" spans="1:7" x14ac:dyDescent="0.25">
      <c r="A809" s="1">
        <v>45292</v>
      </c>
      <c r="B809" t="s">
        <v>7</v>
      </c>
      <c r="C809" t="s">
        <v>879</v>
      </c>
      <c r="D809" t="s">
        <v>883</v>
      </c>
      <c r="E809">
        <v>56010885.82</v>
      </c>
      <c r="F809">
        <v>15943615.939999999</v>
      </c>
      <c r="G809">
        <v>268117938.55000001</v>
      </c>
    </row>
    <row r="810" spans="1:7" x14ac:dyDescent="0.25">
      <c r="A810" s="1">
        <v>45383</v>
      </c>
      <c r="B810" t="s">
        <v>7</v>
      </c>
      <c r="C810" t="s">
        <v>879</v>
      </c>
      <c r="D810" t="s">
        <v>884</v>
      </c>
      <c r="E810">
        <v>101157898.89</v>
      </c>
      <c r="F810">
        <v>82808176.730000004</v>
      </c>
      <c r="G810">
        <v>11484851.310000001</v>
      </c>
    </row>
    <row r="811" spans="1:7" x14ac:dyDescent="0.25">
      <c r="A811" s="1">
        <v>45597</v>
      </c>
      <c r="B811" t="s">
        <v>7</v>
      </c>
      <c r="C811" t="s">
        <v>879</v>
      </c>
      <c r="D811" t="s">
        <v>885</v>
      </c>
      <c r="E811">
        <v>127574583.3</v>
      </c>
      <c r="F811">
        <v>110006992.87</v>
      </c>
      <c r="G811">
        <v>836206.89</v>
      </c>
    </row>
    <row r="812" spans="1:7" x14ac:dyDescent="0.25">
      <c r="A812" s="1">
        <v>45627</v>
      </c>
      <c r="B812" t="s">
        <v>7</v>
      </c>
      <c r="C812" t="s">
        <v>879</v>
      </c>
      <c r="D812" t="s">
        <v>886</v>
      </c>
      <c r="E812">
        <v>217466843.43000001</v>
      </c>
      <c r="F812">
        <v>191046157.81999999</v>
      </c>
      <c r="G812">
        <v>15521385.279999999</v>
      </c>
    </row>
    <row r="813" spans="1:7" x14ac:dyDescent="0.25">
      <c r="A813" s="1">
        <v>45413</v>
      </c>
      <c r="B813" t="s">
        <v>7</v>
      </c>
      <c r="C813" t="s">
        <v>879</v>
      </c>
      <c r="D813" t="s">
        <v>887</v>
      </c>
      <c r="E813">
        <v>73373856.640000001</v>
      </c>
      <c r="F813">
        <v>90118337.620000005</v>
      </c>
      <c r="G813">
        <v>12947131.82</v>
      </c>
    </row>
    <row r="814" spans="1:7" x14ac:dyDescent="0.25">
      <c r="A814" s="1">
        <v>45566</v>
      </c>
      <c r="B814" t="s">
        <v>7</v>
      </c>
      <c r="C814" t="s">
        <v>879</v>
      </c>
      <c r="D814" t="s">
        <v>888</v>
      </c>
      <c r="E814">
        <v>124458371.26000001</v>
      </c>
      <c r="F814">
        <v>121723742.39</v>
      </c>
      <c r="G814">
        <v>1094539.92</v>
      </c>
    </row>
    <row r="815" spans="1:7" x14ac:dyDescent="0.25">
      <c r="A815" s="1">
        <v>45352</v>
      </c>
      <c r="B815" t="s">
        <v>7</v>
      </c>
      <c r="C815" t="s">
        <v>879</v>
      </c>
      <c r="D815" t="s">
        <v>889</v>
      </c>
      <c r="E815">
        <v>65369377.810000002</v>
      </c>
      <c r="F815">
        <v>79790810.209999993</v>
      </c>
      <c r="G815">
        <v>10112826.67</v>
      </c>
    </row>
    <row r="816" spans="1:7" x14ac:dyDescent="0.25">
      <c r="A816" s="1">
        <v>45474</v>
      </c>
      <c r="B816" t="s">
        <v>7</v>
      </c>
      <c r="C816" t="s">
        <v>879</v>
      </c>
      <c r="D816" t="s">
        <v>890</v>
      </c>
      <c r="E816">
        <v>102092392.15000001</v>
      </c>
      <c r="F816">
        <v>118667442.43000001</v>
      </c>
      <c r="G816">
        <v>3819945.63</v>
      </c>
    </row>
    <row r="817" spans="1:7" x14ac:dyDescent="0.25">
      <c r="A817" s="1">
        <v>45536</v>
      </c>
      <c r="B817" t="s">
        <v>7</v>
      </c>
      <c r="C817" t="s">
        <v>879</v>
      </c>
      <c r="D817" t="s">
        <v>891</v>
      </c>
      <c r="E817">
        <v>98747227.400000006</v>
      </c>
      <c r="F817">
        <v>99367755.060000002</v>
      </c>
      <c r="G817">
        <v>675346.21</v>
      </c>
    </row>
    <row r="818" spans="1:7" x14ac:dyDescent="0.25">
      <c r="A818" s="1">
        <v>45383</v>
      </c>
      <c r="B818" t="s">
        <v>7</v>
      </c>
      <c r="C818" t="s">
        <v>892</v>
      </c>
      <c r="D818" t="s">
        <v>893</v>
      </c>
      <c r="E818">
        <v>14609203.529999999</v>
      </c>
      <c r="F818">
        <v>14365889.720000001</v>
      </c>
      <c r="G818">
        <v>661468.18999999994</v>
      </c>
    </row>
    <row r="819" spans="1:7" x14ac:dyDescent="0.25">
      <c r="A819" s="1">
        <v>45352</v>
      </c>
      <c r="B819" t="s">
        <v>7</v>
      </c>
      <c r="C819" t="s">
        <v>892</v>
      </c>
      <c r="D819" t="s">
        <v>894</v>
      </c>
      <c r="E819">
        <v>14032973.689999999</v>
      </c>
      <c r="F819">
        <v>13042949.449999999</v>
      </c>
      <c r="G819">
        <v>1545754.8</v>
      </c>
    </row>
    <row r="820" spans="1:7" x14ac:dyDescent="0.25">
      <c r="A820" s="1">
        <v>45444</v>
      </c>
      <c r="B820" t="s">
        <v>7</v>
      </c>
      <c r="C820" t="s">
        <v>892</v>
      </c>
      <c r="D820" t="s">
        <v>895</v>
      </c>
      <c r="E820">
        <v>18499133.27</v>
      </c>
      <c r="F820">
        <v>15915251.859999999</v>
      </c>
      <c r="G820">
        <v>496849.63</v>
      </c>
    </row>
    <row r="821" spans="1:7" x14ac:dyDescent="0.25">
      <c r="A821" s="1">
        <v>45536</v>
      </c>
      <c r="B821" t="s">
        <v>7</v>
      </c>
      <c r="C821" t="s">
        <v>892</v>
      </c>
      <c r="D821" t="s">
        <v>896</v>
      </c>
      <c r="E821">
        <v>15053363.390000001</v>
      </c>
      <c r="F821">
        <v>14974513.24</v>
      </c>
      <c r="G821">
        <v>247598.44</v>
      </c>
    </row>
    <row r="822" spans="1:7" x14ac:dyDescent="0.25">
      <c r="A822" s="1">
        <v>45505</v>
      </c>
      <c r="B822" t="s">
        <v>7</v>
      </c>
      <c r="C822" t="s">
        <v>892</v>
      </c>
      <c r="D822" t="s">
        <v>897</v>
      </c>
      <c r="E822">
        <v>15362008.67</v>
      </c>
      <c r="F822">
        <v>15850706.699999999</v>
      </c>
      <c r="G822">
        <v>1773802.18</v>
      </c>
    </row>
    <row r="823" spans="1:7" x14ac:dyDescent="0.25">
      <c r="A823" s="1">
        <v>45474</v>
      </c>
      <c r="B823" t="s">
        <v>7</v>
      </c>
      <c r="C823" t="s">
        <v>892</v>
      </c>
      <c r="D823" t="s">
        <v>898</v>
      </c>
      <c r="E823">
        <v>15162076.01</v>
      </c>
      <c r="F823">
        <v>17831552</v>
      </c>
      <c r="G823">
        <v>869631.95</v>
      </c>
    </row>
    <row r="824" spans="1:7" x14ac:dyDescent="0.25">
      <c r="A824" s="1">
        <v>45323</v>
      </c>
      <c r="B824" t="s">
        <v>7</v>
      </c>
      <c r="C824" t="s">
        <v>892</v>
      </c>
      <c r="D824" t="s">
        <v>899</v>
      </c>
      <c r="E824">
        <v>13540192.09</v>
      </c>
      <c r="F824">
        <v>11652988.57</v>
      </c>
      <c r="G824">
        <v>3701167.9</v>
      </c>
    </row>
    <row r="825" spans="1:7" x14ac:dyDescent="0.25">
      <c r="A825" s="1">
        <v>45627</v>
      </c>
      <c r="B825" t="s">
        <v>7</v>
      </c>
      <c r="C825" t="s">
        <v>892</v>
      </c>
      <c r="D825" t="s">
        <v>900</v>
      </c>
      <c r="E825">
        <v>20930876.5</v>
      </c>
      <c r="F825">
        <v>21929468.539999999</v>
      </c>
      <c r="G825">
        <v>1194561.19</v>
      </c>
    </row>
    <row r="826" spans="1:7" x14ac:dyDescent="0.25">
      <c r="A826" s="1">
        <v>45566</v>
      </c>
      <c r="B826" t="s">
        <v>7</v>
      </c>
      <c r="C826" t="s">
        <v>892</v>
      </c>
      <c r="D826" t="s">
        <v>901</v>
      </c>
      <c r="E826">
        <v>14872231.390000001</v>
      </c>
      <c r="F826">
        <v>14801085.039999999</v>
      </c>
      <c r="G826">
        <v>1253112.1200000001</v>
      </c>
    </row>
    <row r="827" spans="1:7" x14ac:dyDescent="0.25">
      <c r="A827" s="1">
        <v>45292</v>
      </c>
      <c r="B827" t="s">
        <v>7</v>
      </c>
      <c r="C827" t="s">
        <v>892</v>
      </c>
      <c r="D827" t="s">
        <v>902</v>
      </c>
      <c r="E827">
        <v>12148704.300000001</v>
      </c>
      <c r="F827">
        <v>2162437.79</v>
      </c>
      <c r="G827">
        <v>16091897.18</v>
      </c>
    </row>
    <row r="828" spans="1:7" x14ac:dyDescent="0.25">
      <c r="A828" s="1">
        <v>45597</v>
      </c>
      <c r="B828" t="s">
        <v>7</v>
      </c>
      <c r="C828" t="s">
        <v>892</v>
      </c>
      <c r="D828" t="s">
        <v>903</v>
      </c>
      <c r="E828">
        <v>28980334.329999998</v>
      </c>
      <c r="F828">
        <v>24104008.02</v>
      </c>
      <c r="G828">
        <v>1780392.71</v>
      </c>
    </row>
    <row r="829" spans="1:7" x14ac:dyDescent="0.25">
      <c r="A829" s="1">
        <v>45413</v>
      </c>
      <c r="B829" t="s">
        <v>7</v>
      </c>
      <c r="C829" t="s">
        <v>892</v>
      </c>
      <c r="D829" t="s">
        <v>904</v>
      </c>
      <c r="E829">
        <v>15645946.390000001</v>
      </c>
      <c r="F829">
        <v>15183517.1</v>
      </c>
      <c r="G829">
        <v>1758960.66</v>
      </c>
    </row>
    <row r="830" spans="1:7" x14ac:dyDescent="0.25">
      <c r="A830" s="1">
        <v>45383</v>
      </c>
      <c r="B830" t="s">
        <v>7</v>
      </c>
      <c r="C830" t="s">
        <v>905</v>
      </c>
      <c r="D830" t="s">
        <v>906</v>
      </c>
      <c r="E830">
        <v>185812244.88</v>
      </c>
      <c r="F830">
        <v>174426739.00999999</v>
      </c>
      <c r="G830">
        <v>7075367.54</v>
      </c>
    </row>
    <row r="831" spans="1:7" x14ac:dyDescent="0.25">
      <c r="A831" s="1">
        <v>45444</v>
      </c>
      <c r="B831" t="s">
        <v>7</v>
      </c>
      <c r="C831" t="s">
        <v>905</v>
      </c>
      <c r="D831" t="s">
        <v>907</v>
      </c>
      <c r="E831">
        <v>230266520.44999999</v>
      </c>
      <c r="F831">
        <v>184790989.99000001</v>
      </c>
      <c r="G831">
        <v>8081338.6799999997</v>
      </c>
    </row>
    <row r="832" spans="1:7" x14ac:dyDescent="0.25">
      <c r="A832" s="1">
        <v>45352</v>
      </c>
      <c r="B832" t="s">
        <v>7</v>
      </c>
      <c r="C832" t="s">
        <v>905</v>
      </c>
      <c r="D832" t="s">
        <v>908</v>
      </c>
      <c r="E832">
        <v>176000531.61000001</v>
      </c>
      <c r="F832">
        <v>177070183.18000001</v>
      </c>
      <c r="G832">
        <v>11344132.859999999</v>
      </c>
    </row>
    <row r="833" spans="1:7" x14ac:dyDescent="0.25">
      <c r="A833" s="1">
        <v>45505</v>
      </c>
      <c r="B833" t="s">
        <v>7</v>
      </c>
      <c r="C833" t="s">
        <v>905</v>
      </c>
      <c r="D833" t="s">
        <v>909</v>
      </c>
      <c r="E833">
        <v>196564732.86000001</v>
      </c>
      <c r="F833">
        <v>184115335.56</v>
      </c>
      <c r="G833">
        <v>1031223.39</v>
      </c>
    </row>
    <row r="834" spans="1:7" x14ac:dyDescent="0.25">
      <c r="A834" s="1">
        <v>45566</v>
      </c>
      <c r="B834" t="s">
        <v>7</v>
      </c>
      <c r="C834" t="s">
        <v>905</v>
      </c>
      <c r="D834" t="s">
        <v>910</v>
      </c>
      <c r="E834">
        <v>175758980.43000001</v>
      </c>
      <c r="F834">
        <v>180787112.47999999</v>
      </c>
      <c r="G834">
        <v>301360.03000000003</v>
      </c>
    </row>
    <row r="835" spans="1:7" x14ac:dyDescent="0.25">
      <c r="A835" s="1">
        <v>45536</v>
      </c>
      <c r="B835" t="s">
        <v>7</v>
      </c>
      <c r="C835" t="s">
        <v>905</v>
      </c>
      <c r="D835" t="s">
        <v>911</v>
      </c>
      <c r="E835">
        <v>177026880.16</v>
      </c>
      <c r="F835">
        <v>187860344.43000001</v>
      </c>
      <c r="G835">
        <v>392876.78</v>
      </c>
    </row>
    <row r="836" spans="1:7" x14ac:dyDescent="0.25">
      <c r="A836" s="1">
        <v>45597</v>
      </c>
      <c r="B836" t="s">
        <v>7</v>
      </c>
      <c r="C836" t="s">
        <v>905</v>
      </c>
      <c r="D836" t="s">
        <v>912</v>
      </c>
      <c r="E836">
        <v>264992782.38999999</v>
      </c>
      <c r="F836">
        <v>204804381.02000001</v>
      </c>
      <c r="G836">
        <v>110271.63</v>
      </c>
    </row>
    <row r="837" spans="1:7" x14ac:dyDescent="0.25">
      <c r="A837" s="1">
        <v>45323</v>
      </c>
      <c r="B837" t="s">
        <v>7</v>
      </c>
      <c r="C837" t="s">
        <v>905</v>
      </c>
      <c r="D837" t="s">
        <v>913</v>
      </c>
      <c r="E837">
        <v>160746446.41999999</v>
      </c>
      <c r="F837">
        <v>143731141.80000001</v>
      </c>
      <c r="G837">
        <v>32847800.25</v>
      </c>
    </row>
    <row r="838" spans="1:7" x14ac:dyDescent="0.25">
      <c r="A838" s="1">
        <v>45292</v>
      </c>
      <c r="B838" t="s">
        <v>7</v>
      </c>
      <c r="C838" t="s">
        <v>905</v>
      </c>
      <c r="D838" t="s">
        <v>914</v>
      </c>
      <c r="E838">
        <v>151534536.16</v>
      </c>
      <c r="F838">
        <v>26068171.870000001</v>
      </c>
      <c r="G838">
        <v>168254016.49000001</v>
      </c>
    </row>
    <row r="839" spans="1:7" x14ac:dyDescent="0.25">
      <c r="A839" s="1">
        <v>45413</v>
      </c>
      <c r="B839" t="s">
        <v>7</v>
      </c>
      <c r="C839" t="s">
        <v>905</v>
      </c>
      <c r="D839" t="s">
        <v>915</v>
      </c>
      <c r="E839">
        <v>190715871.78999999</v>
      </c>
      <c r="F839">
        <v>182050023.56</v>
      </c>
      <c r="G839">
        <v>8614752.5199999996</v>
      </c>
    </row>
    <row r="840" spans="1:7" x14ac:dyDescent="0.25">
      <c r="A840" s="1">
        <v>45474</v>
      </c>
      <c r="B840" t="s">
        <v>7</v>
      </c>
      <c r="C840" t="s">
        <v>905</v>
      </c>
      <c r="D840" t="s">
        <v>916</v>
      </c>
      <c r="E840">
        <v>179459607.69</v>
      </c>
      <c r="F840">
        <v>236113748.58000001</v>
      </c>
      <c r="G840">
        <v>691195.33</v>
      </c>
    </row>
    <row r="841" spans="1:7" x14ac:dyDescent="0.25">
      <c r="A841" s="1">
        <v>45627</v>
      </c>
      <c r="B841" t="s">
        <v>7</v>
      </c>
      <c r="C841" t="s">
        <v>905</v>
      </c>
      <c r="D841" t="s">
        <v>917</v>
      </c>
      <c r="E841">
        <v>207903631.47999999</v>
      </c>
      <c r="F841">
        <v>255318880.11000001</v>
      </c>
      <c r="G841">
        <v>1005050.54</v>
      </c>
    </row>
    <row r="842" spans="1:7" x14ac:dyDescent="0.25">
      <c r="A842" s="1">
        <v>45566</v>
      </c>
      <c r="B842" t="s">
        <v>7</v>
      </c>
      <c r="C842" t="s">
        <v>918</v>
      </c>
      <c r="D842" t="s">
        <v>919</v>
      </c>
      <c r="E842">
        <v>29874071.34</v>
      </c>
      <c r="F842">
        <v>29204937.469999999</v>
      </c>
      <c r="G842">
        <v>551390.92000000004</v>
      </c>
    </row>
    <row r="843" spans="1:7" x14ac:dyDescent="0.25">
      <c r="A843" s="1">
        <v>45474</v>
      </c>
      <c r="B843" t="s">
        <v>7</v>
      </c>
      <c r="C843" t="s">
        <v>918</v>
      </c>
      <c r="D843" t="s">
        <v>920</v>
      </c>
      <c r="E843">
        <v>28438999.789999999</v>
      </c>
      <c r="F843">
        <v>35067444.460000001</v>
      </c>
      <c r="G843">
        <v>1842940.85</v>
      </c>
    </row>
    <row r="844" spans="1:7" x14ac:dyDescent="0.25">
      <c r="A844" s="1">
        <v>45323</v>
      </c>
      <c r="B844" t="s">
        <v>7</v>
      </c>
      <c r="C844" t="s">
        <v>918</v>
      </c>
      <c r="D844" t="s">
        <v>921</v>
      </c>
      <c r="E844">
        <v>23604395.899999999</v>
      </c>
      <c r="F844">
        <v>21198406.100000001</v>
      </c>
      <c r="G844">
        <v>7310548.04</v>
      </c>
    </row>
    <row r="845" spans="1:7" x14ac:dyDescent="0.25">
      <c r="A845" s="1">
        <v>45413</v>
      </c>
      <c r="B845" t="s">
        <v>7</v>
      </c>
      <c r="C845" t="s">
        <v>918</v>
      </c>
      <c r="D845" t="s">
        <v>922</v>
      </c>
      <c r="E845">
        <v>28627265.640000001</v>
      </c>
      <c r="F845">
        <v>26793398.59</v>
      </c>
      <c r="G845">
        <v>3002449.3</v>
      </c>
    </row>
    <row r="846" spans="1:7" x14ac:dyDescent="0.25">
      <c r="A846" s="1">
        <v>45505</v>
      </c>
      <c r="B846" t="s">
        <v>7</v>
      </c>
      <c r="C846" t="s">
        <v>918</v>
      </c>
      <c r="D846" t="s">
        <v>923</v>
      </c>
      <c r="E846">
        <v>29387929.260000002</v>
      </c>
      <c r="F846">
        <v>28288828.719999999</v>
      </c>
      <c r="G846">
        <v>1167659.3799999999</v>
      </c>
    </row>
    <row r="847" spans="1:7" x14ac:dyDescent="0.25">
      <c r="A847" s="1">
        <v>45352</v>
      </c>
      <c r="B847" t="s">
        <v>7</v>
      </c>
      <c r="C847" t="s">
        <v>918</v>
      </c>
      <c r="D847" t="s">
        <v>924</v>
      </c>
      <c r="E847">
        <v>24367542.329999998</v>
      </c>
      <c r="F847">
        <v>23949713.859999999</v>
      </c>
      <c r="G847">
        <v>2987430.57</v>
      </c>
    </row>
    <row r="848" spans="1:7" x14ac:dyDescent="0.25">
      <c r="A848" s="1">
        <v>45383</v>
      </c>
      <c r="B848" t="s">
        <v>7</v>
      </c>
      <c r="C848" t="s">
        <v>918</v>
      </c>
      <c r="D848" t="s">
        <v>925</v>
      </c>
      <c r="E848">
        <v>25696971.989999998</v>
      </c>
      <c r="F848">
        <v>25120602.539999999</v>
      </c>
      <c r="G848">
        <v>3209080.41</v>
      </c>
    </row>
    <row r="849" spans="1:7" x14ac:dyDescent="0.25">
      <c r="A849" s="1">
        <v>45292</v>
      </c>
      <c r="B849" t="s">
        <v>7</v>
      </c>
      <c r="C849" t="s">
        <v>918</v>
      </c>
      <c r="D849" t="s">
        <v>926</v>
      </c>
      <c r="E849">
        <v>23613499.010000002</v>
      </c>
      <c r="F849">
        <v>4928943.6399999997</v>
      </c>
      <c r="G849">
        <v>31627538.98</v>
      </c>
    </row>
    <row r="850" spans="1:7" x14ac:dyDescent="0.25">
      <c r="A850" s="1">
        <v>45444</v>
      </c>
      <c r="B850" t="s">
        <v>7</v>
      </c>
      <c r="C850" t="s">
        <v>918</v>
      </c>
      <c r="D850" t="s">
        <v>927</v>
      </c>
      <c r="E850">
        <v>34760121.189999998</v>
      </c>
      <c r="F850">
        <v>27881633.699999999</v>
      </c>
      <c r="G850">
        <v>2004722.44</v>
      </c>
    </row>
    <row r="851" spans="1:7" x14ac:dyDescent="0.25">
      <c r="A851" s="1">
        <v>45597</v>
      </c>
      <c r="B851" t="s">
        <v>7</v>
      </c>
      <c r="C851" t="s">
        <v>918</v>
      </c>
      <c r="D851" t="s">
        <v>928</v>
      </c>
      <c r="E851">
        <v>41272470.579999998</v>
      </c>
      <c r="F851">
        <v>33771899.590000004</v>
      </c>
      <c r="G851">
        <v>238160</v>
      </c>
    </row>
    <row r="852" spans="1:7" x14ac:dyDescent="0.25">
      <c r="A852" s="1">
        <v>45627</v>
      </c>
      <c r="B852" t="s">
        <v>7</v>
      </c>
      <c r="C852" t="s">
        <v>918</v>
      </c>
      <c r="D852" t="s">
        <v>929</v>
      </c>
      <c r="E852">
        <v>37728783.280000001</v>
      </c>
      <c r="F852">
        <v>40085086.5</v>
      </c>
      <c r="G852">
        <v>1217858.98</v>
      </c>
    </row>
    <row r="853" spans="1:7" x14ac:dyDescent="0.25">
      <c r="A853" s="1">
        <v>45536</v>
      </c>
      <c r="B853" t="s">
        <v>7</v>
      </c>
      <c r="C853" t="s">
        <v>918</v>
      </c>
      <c r="D853" t="s">
        <v>930</v>
      </c>
      <c r="E853">
        <v>28462766.260000002</v>
      </c>
      <c r="F853">
        <v>28881244.219999999</v>
      </c>
      <c r="G853">
        <v>349608.82</v>
      </c>
    </row>
    <row r="854" spans="1:7" x14ac:dyDescent="0.25">
      <c r="A854" s="1">
        <v>45383</v>
      </c>
      <c r="B854" t="s">
        <v>7</v>
      </c>
      <c r="C854" t="s">
        <v>931</v>
      </c>
      <c r="D854" t="s">
        <v>932</v>
      </c>
      <c r="E854">
        <v>15416565.640000001</v>
      </c>
      <c r="F854">
        <v>16219788.98</v>
      </c>
      <c r="G854">
        <v>1566748.21</v>
      </c>
    </row>
    <row r="855" spans="1:7" x14ac:dyDescent="0.25">
      <c r="A855" s="1">
        <v>45444</v>
      </c>
      <c r="B855" t="s">
        <v>7</v>
      </c>
      <c r="C855" t="s">
        <v>931</v>
      </c>
      <c r="D855" t="s">
        <v>933</v>
      </c>
      <c r="E855">
        <v>18778697.210000001</v>
      </c>
      <c r="F855">
        <v>15517285.810000001</v>
      </c>
      <c r="G855">
        <v>2648372.2000000002</v>
      </c>
    </row>
    <row r="856" spans="1:7" x14ac:dyDescent="0.25">
      <c r="A856" s="1">
        <v>45505</v>
      </c>
      <c r="B856" t="s">
        <v>7</v>
      </c>
      <c r="C856" t="s">
        <v>931</v>
      </c>
      <c r="D856" t="s">
        <v>934</v>
      </c>
      <c r="E856">
        <v>16342802.42</v>
      </c>
      <c r="F856">
        <v>14832386.02</v>
      </c>
      <c r="G856">
        <v>1043301.73</v>
      </c>
    </row>
    <row r="857" spans="1:7" x14ac:dyDescent="0.25">
      <c r="A857" s="1">
        <v>45627</v>
      </c>
      <c r="B857" t="s">
        <v>7</v>
      </c>
      <c r="C857" t="s">
        <v>931</v>
      </c>
      <c r="D857" t="s">
        <v>935</v>
      </c>
      <c r="E857">
        <v>19133097.489999998</v>
      </c>
      <c r="F857">
        <v>21741585.059999999</v>
      </c>
      <c r="G857">
        <v>38293.269999999997</v>
      </c>
    </row>
    <row r="858" spans="1:7" x14ac:dyDescent="0.25">
      <c r="A858" s="1">
        <v>45292</v>
      </c>
      <c r="B858" t="s">
        <v>7</v>
      </c>
      <c r="C858" t="s">
        <v>931</v>
      </c>
      <c r="D858" t="s">
        <v>936</v>
      </c>
      <c r="E858">
        <v>13744569.24</v>
      </c>
      <c r="F858">
        <v>3309528.3</v>
      </c>
      <c r="G858">
        <v>16251820.93</v>
      </c>
    </row>
    <row r="859" spans="1:7" x14ac:dyDescent="0.25">
      <c r="A859" s="1">
        <v>45566</v>
      </c>
      <c r="B859" t="s">
        <v>7</v>
      </c>
      <c r="C859" t="s">
        <v>931</v>
      </c>
      <c r="D859" t="s">
        <v>937</v>
      </c>
      <c r="E859">
        <v>16506192.4</v>
      </c>
      <c r="F859">
        <v>16468713.15</v>
      </c>
      <c r="G859">
        <v>70675.95</v>
      </c>
    </row>
    <row r="860" spans="1:7" x14ac:dyDescent="0.25">
      <c r="A860" s="1">
        <v>45323</v>
      </c>
      <c r="B860" t="s">
        <v>7</v>
      </c>
      <c r="C860" t="s">
        <v>931</v>
      </c>
      <c r="D860" t="s">
        <v>938</v>
      </c>
      <c r="E860">
        <v>15756757.630000001</v>
      </c>
      <c r="F860">
        <v>13307106.98</v>
      </c>
      <c r="G860">
        <v>2786710.3</v>
      </c>
    </row>
    <row r="861" spans="1:7" x14ac:dyDescent="0.25">
      <c r="A861" s="1">
        <v>45413</v>
      </c>
      <c r="B861" t="s">
        <v>7</v>
      </c>
      <c r="C861" t="s">
        <v>931</v>
      </c>
      <c r="D861" t="s">
        <v>939</v>
      </c>
      <c r="E861">
        <v>16167264.83</v>
      </c>
      <c r="F861">
        <v>15196117.960000001</v>
      </c>
      <c r="G861">
        <v>895542.46</v>
      </c>
    </row>
    <row r="862" spans="1:7" x14ac:dyDescent="0.25">
      <c r="A862" s="1">
        <v>45597</v>
      </c>
      <c r="B862" t="s">
        <v>7</v>
      </c>
      <c r="C862" t="s">
        <v>931</v>
      </c>
      <c r="D862" t="s">
        <v>940</v>
      </c>
      <c r="E862">
        <v>23816591.120000001</v>
      </c>
      <c r="F862">
        <v>17571900.390000001</v>
      </c>
      <c r="G862">
        <v>6631.56</v>
      </c>
    </row>
    <row r="863" spans="1:7" x14ac:dyDescent="0.25">
      <c r="A863" s="1">
        <v>45352</v>
      </c>
      <c r="B863" t="s">
        <v>7</v>
      </c>
      <c r="C863" t="s">
        <v>931</v>
      </c>
      <c r="D863" t="s">
        <v>941</v>
      </c>
      <c r="E863">
        <v>15150469.869999999</v>
      </c>
      <c r="F863">
        <v>14766250.98</v>
      </c>
      <c r="G863">
        <v>3874968.03</v>
      </c>
    </row>
    <row r="864" spans="1:7" x14ac:dyDescent="0.25">
      <c r="A864" s="1">
        <v>45536</v>
      </c>
      <c r="B864" t="s">
        <v>7</v>
      </c>
      <c r="C864" t="s">
        <v>931</v>
      </c>
      <c r="D864" t="s">
        <v>942</v>
      </c>
      <c r="E864">
        <v>17569801.780000001</v>
      </c>
      <c r="F864">
        <v>18580443.370000001</v>
      </c>
      <c r="G864">
        <v>512973.58</v>
      </c>
    </row>
    <row r="865" spans="1:7" x14ac:dyDescent="0.25">
      <c r="A865" s="1">
        <v>45474</v>
      </c>
      <c r="B865" t="s">
        <v>7</v>
      </c>
      <c r="C865" t="s">
        <v>931</v>
      </c>
      <c r="D865" t="s">
        <v>943</v>
      </c>
      <c r="E865">
        <v>16613579.98</v>
      </c>
      <c r="F865">
        <v>21185588.789999999</v>
      </c>
      <c r="G865">
        <v>1956107.93</v>
      </c>
    </row>
    <row r="866" spans="1:7" x14ac:dyDescent="0.25">
      <c r="A866" s="1">
        <v>45597</v>
      </c>
      <c r="B866" t="s">
        <v>7</v>
      </c>
      <c r="C866" t="s">
        <v>944</v>
      </c>
      <c r="D866" t="s">
        <v>945</v>
      </c>
      <c r="E866">
        <v>257596820.18000001</v>
      </c>
      <c r="F866">
        <v>202711258.88</v>
      </c>
      <c r="G866">
        <v>1196027.7</v>
      </c>
    </row>
    <row r="867" spans="1:7" x14ac:dyDescent="0.25">
      <c r="A867" s="1">
        <v>45323</v>
      </c>
      <c r="B867" t="s">
        <v>7</v>
      </c>
      <c r="C867" t="s">
        <v>944</v>
      </c>
      <c r="D867" t="s">
        <v>946</v>
      </c>
      <c r="E867">
        <v>159139317.28</v>
      </c>
      <c r="F867">
        <v>142581660.90000001</v>
      </c>
      <c r="G867">
        <v>27681163.039999999</v>
      </c>
    </row>
    <row r="868" spans="1:7" x14ac:dyDescent="0.25">
      <c r="A868" s="1">
        <v>45627</v>
      </c>
      <c r="B868" t="s">
        <v>7</v>
      </c>
      <c r="C868" t="s">
        <v>944</v>
      </c>
      <c r="D868" t="s">
        <v>947</v>
      </c>
      <c r="E868">
        <v>224349499.5</v>
      </c>
      <c r="F868">
        <v>215815287.94</v>
      </c>
      <c r="G868">
        <v>9572085.9600000009</v>
      </c>
    </row>
    <row r="869" spans="1:7" x14ac:dyDescent="0.25">
      <c r="A869" s="1">
        <v>45505</v>
      </c>
      <c r="B869" t="s">
        <v>7</v>
      </c>
      <c r="C869" t="s">
        <v>944</v>
      </c>
      <c r="D869" t="s">
        <v>948</v>
      </c>
      <c r="E869">
        <v>172869706.38</v>
      </c>
      <c r="F869">
        <v>171718939.78999999</v>
      </c>
      <c r="G869">
        <v>2831394.5</v>
      </c>
    </row>
    <row r="870" spans="1:7" x14ac:dyDescent="0.25">
      <c r="A870" s="1">
        <v>45444</v>
      </c>
      <c r="B870" t="s">
        <v>7</v>
      </c>
      <c r="C870" t="s">
        <v>944</v>
      </c>
      <c r="D870" t="s">
        <v>949</v>
      </c>
      <c r="E870">
        <v>207531347.16999999</v>
      </c>
      <c r="F870">
        <v>172368974.97</v>
      </c>
      <c r="G870">
        <v>3738255.92</v>
      </c>
    </row>
    <row r="871" spans="1:7" x14ac:dyDescent="0.25">
      <c r="A871" s="1">
        <v>45413</v>
      </c>
      <c r="B871" t="s">
        <v>7</v>
      </c>
      <c r="C871" t="s">
        <v>944</v>
      </c>
      <c r="D871" t="s">
        <v>950</v>
      </c>
      <c r="E871">
        <v>174885125.31999999</v>
      </c>
      <c r="F871">
        <v>170288398.28</v>
      </c>
      <c r="G871">
        <v>5293009.07</v>
      </c>
    </row>
    <row r="872" spans="1:7" x14ac:dyDescent="0.25">
      <c r="A872" s="1">
        <v>45352</v>
      </c>
      <c r="B872" t="s">
        <v>7</v>
      </c>
      <c r="C872" t="s">
        <v>944</v>
      </c>
      <c r="D872" t="s">
        <v>951</v>
      </c>
      <c r="E872">
        <v>166000827.87</v>
      </c>
      <c r="F872">
        <v>161831058.66</v>
      </c>
      <c r="G872">
        <v>10058315.140000001</v>
      </c>
    </row>
    <row r="873" spans="1:7" x14ac:dyDescent="0.25">
      <c r="A873" s="1">
        <v>45566</v>
      </c>
      <c r="B873" t="s">
        <v>7</v>
      </c>
      <c r="C873" t="s">
        <v>944</v>
      </c>
      <c r="D873" t="s">
        <v>952</v>
      </c>
      <c r="E873">
        <v>179833502.78999999</v>
      </c>
      <c r="F873">
        <v>179905724.99000001</v>
      </c>
      <c r="G873">
        <v>1725194.77</v>
      </c>
    </row>
    <row r="874" spans="1:7" x14ac:dyDescent="0.25">
      <c r="A874" s="1">
        <v>45383</v>
      </c>
      <c r="B874" t="s">
        <v>7</v>
      </c>
      <c r="C874" t="s">
        <v>944</v>
      </c>
      <c r="D874" t="s">
        <v>953</v>
      </c>
      <c r="E874">
        <v>167135253.53999999</v>
      </c>
      <c r="F874">
        <v>166574685.58000001</v>
      </c>
      <c r="G874">
        <v>6722817.75</v>
      </c>
    </row>
    <row r="875" spans="1:7" x14ac:dyDescent="0.25">
      <c r="A875" s="1">
        <v>45474</v>
      </c>
      <c r="B875" t="s">
        <v>7</v>
      </c>
      <c r="C875" t="s">
        <v>944</v>
      </c>
      <c r="D875" t="s">
        <v>954</v>
      </c>
      <c r="E875">
        <v>172686795.94999999</v>
      </c>
      <c r="F875">
        <v>209767025.63</v>
      </c>
      <c r="G875">
        <v>6364792.6200000001</v>
      </c>
    </row>
    <row r="876" spans="1:7" x14ac:dyDescent="0.25">
      <c r="A876" s="1">
        <v>45536</v>
      </c>
      <c r="B876" t="s">
        <v>7</v>
      </c>
      <c r="C876" t="s">
        <v>944</v>
      </c>
      <c r="D876" t="s">
        <v>955</v>
      </c>
      <c r="E876">
        <v>174057849.69</v>
      </c>
      <c r="F876">
        <v>172128486.28</v>
      </c>
      <c r="G876">
        <v>2034781.53</v>
      </c>
    </row>
    <row r="877" spans="1:7" x14ac:dyDescent="0.25">
      <c r="A877" s="1">
        <v>45292</v>
      </c>
      <c r="B877" t="s">
        <v>7</v>
      </c>
      <c r="C877" t="s">
        <v>944</v>
      </c>
      <c r="D877" t="s">
        <v>956</v>
      </c>
      <c r="E877">
        <v>160464361</v>
      </c>
      <c r="F877">
        <v>26994377.530000001</v>
      </c>
      <c r="G877">
        <v>203662417.19999999</v>
      </c>
    </row>
    <row r="878" spans="1:7" x14ac:dyDescent="0.25">
      <c r="A878" s="1">
        <v>45444</v>
      </c>
      <c r="B878" t="s">
        <v>7</v>
      </c>
      <c r="C878" t="s">
        <v>957</v>
      </c>
      <c r="D878" t="s">
        <v>958</v>
      </c>
      <c r="E878">
        <v>116287407.8</v>
      </c>
      <c r="F878">
        <v>93990946.700000003</v>
      </c>
      <c r="G878">
        <v>894919.56</v>
      </c>
    </row>
    <row r="879" spans="1:7" x14ac:dyDescent="0.25">
      <c r="A879" s="1">
        <v>45292</v>
      </c>
      <c r="B879" t="s">
        <v>7</v>
      </c>
      <c r="C879" t="s">
        <v>957</v>
      </c>
      <c r="D879" t="s">
        <v>959</v>
      </c>
      <c r="E879">
        <v>81608122.599999994</v>
      </c>
      <c r="F879">
        <v>16907827.199999999</v>
      </c>
      <c r="G879">
        <v>97561834.120000005</v>
      </c>
    </row>
    <row r="880" spans="1:7" x14ac:dyDescent="0.25">
      <c r="A880" s="1">
        <v>45413</v>
      </c>
      <c r="B880" t="s">
        <v>7</v>
      </c>
      <c r="C880" t="s">
        <v>957</v>
      </c>
      <c r="D880" t="s">
        <v>960</v>
      </c>
      <c r="E880">
        <v>94080437.319999993</v>
      </c>
      <c r="F880">
        <v>87136950.799999997</v>
      </c>
      <c r="G880">
        <v>909700.5</v>
      </c>
    </row>
    <row r="881" spans="1:7" x14ac:dyDescent="0.25">
      <c r="A881" s="1">
        <v>45566</v>
      </c>
      <c r="B881" t="s">
        <v>7</v>
      </c>
      <c r="C881" t="s">
        <v>957</v>
      </c>
      <c r="D881" t="s">
        <v>961</v>
      </c>
      <c r="E881">
        <v>89247023.260000005</v>
      </c>
      <c r="F881">
        <v>101277710.59</v>
      </c>
      <c r="G881">
        <v>746778.18</v>
      </c>
    </row>
    <row r="882" spans="1:7" x14ac:dyDescent="0.25">
      <c r="A882" s="1">
        <v>45536</v>
      </c>
      <c r="B882" t="s">
        <v>7</v>
      </c>
      <c r="C882" t="s">
        <v>957</v>
      </c>
      <c r="D882" t="s">
        <v>962</v>
      </c>
      <c r="E882">
        <v>104400282.7</v>
      </c>
      <c r="F882">
        <v>92447914.450000003</v>
      </c>
      <c r="G882">
        <v>876296.06</v>
      </c>
    </row>
    <row r="883" spans="1:7" x14ac:dyDescent="0.25">
      <c r="A883" s="1">
        <v>45474</v>
      </c>
      <c r="B883" t="s">
        <v>7</v>
      </c>
      <c r="C883" t="s">
        <v>957</v>
      </c>
      <c r="D883" t="s">
        <v>963</v>
      </c>
      <c r="E883">
        <v>93371140.549999997</v>
      </c>
      <c r="F883">
        <v>120504354.41</v>
      </c>
      <c r="G883">
        <v>1945907.79</v>
      </c>
    </row>
    <row r="884" spans="1:7" x14ac:dyDescent="0.25">
      <c r="A884" s="1">
        <v>45627</v>
      </c>
      <c r="B884" t="s">
        <v>7</v>
      </c>
      <c r="C884" t="s">
        <v>957</v>
      </c>
      <c r="D884" t="s">
        <v>964</v>
      </c>
      <c r="E884">
        <v>129149259.34999999</v>
      </c>
      <c r="F884">
        <v>116290104.84</v>
      </c>
      <c r="G884">
        <v>1038465.14</v>
      </c>
    </row>
    <row r="885" spans="1:7" x14ac:dyDescent="0.25">
      <c r="A885" s="1">
        <v>45383</v>
      </c>
      <c r="B885" t="s">
        <v>7</v>
      </c>
      <c r="C885" t="s">
        <v>957</v>
      </c>
      <c r="D885" t="s">
        <v>965</v>
      </c>
      <c r="E885">
        <v>84140007.980000004</v>
      </c>
      <c r="F885">
        <v>85505493.870000005</v>
      </c>
      <c r="G885">
        <v>4434852.12</v>
      </c>
    </row>
    <row r="886" spans="1:7" x14ac:dyDescent="0.25">
      <c r="A886" s="1">
        <v>45352</v>
      </c>
      <c r="B886" t="s">
        <v>7</v>
      </c>
      <c r="C886" t="s">
        <v>957</v>
      </c>
      <c r="D886" t="s">
        <v>966</v>
      </c>
      <c r="E886">
        <v>89063232.180000007</v>
      </c>
      <c r="F886">
        <v>86529353.359999999</v>
      </c>
      <c r="G886">
        <v>8300809.75</v>
      </c>
    </row>
    <row r="887" spans="1:7" x14ac:dyDescent="0.25">
      <c r="A887" s="1">
        <v>45323</v>
      </c>
      <c r="B887" t="s">
        <v>7</v>
      </c>
      <c r="C887" t="s">
        <v>957</v>
      </c>
      <c r="D887" t="s">
        <v>967</v>
      </c>
      <c r="E887">
        <v>81079675.069999993</v>
      </c>
      <c r="F887">
        <v>80952267.319999993</v>
      </c>
      <c r="G887">
        <v>6457115.9900000002</v>
      </c>
    </row>
    <row r="888" spans="1:7" x14ac:dyDescent="0.25">
      <c r="A888" s="1">
        <v>45505</v>
      </c>
      <c r="B888" t="s">
        <v>7</v>
      </c>
      <c r="C888" t="s">
        <v>957</v>
      </c>
      <c r="D888" t="s">
        <v>968</v>
      </c>
      <c r="E888">
        <v>89167249.670000002</v>
      </c>
      <c r="F888">
        <v>88230936.459999993</v>
      </c>
      <c r="G888">
        <v>969679.19</v>
      </c>
    </row>
    <row r="889" spans="1:7" x14ac:dyDescent="0.25">
      <c r="A889" s="1">
        <v>45597</v>
      </c>
      <c r="B889" t="s">
        <v>7</v>
      </c>
      <c r="C889" t="s">
        <v>957</v>
      </c>
      <c r="D889" t="s">
        <v>969</v>
      </c>
      <c r="E889">
        <v>133521777.73999999</v>
      </c>
      <c r="F889">
        <v>103513651.73999999</v>
      </c>
      <c r="G889">
        <v>1022650.69</v>
      </c>
    </row>
    <row r="890" spans="1:7" x14ac:dyDescent="0.25">
      <c r="A890" s="1">
        <v>45536</v>
      </c>
      <c r="B890" t="s">
        <v>7</v>
      </c>
      <c r="C890" t="s">
        <v>970</v>
      </c>
      <c r="D890" t="s">
        <v>971</v>
      </c>
      <c r="E890">
        <v>25476706.920000002</v>
      </c>
      <c r="F890">
        <v>24422097.219999999</v>
      </c>
      <c r="G890">
        <v>1696531.58</v>
      </c>
    </row>
    <row r="891" spans="1:7" x14ac:dyDescent="0.25">
      <c r="A891" s="1">
        <v>45352</v>
      </c>
      <c r="B891" t="s">
        <v>7</v>
      </c>
      <c r="C891" t="s">
        <v>970</v>
      </c>
      <c r="D891" t="s">
        <v>972</v>
      </c>
      <c r="E891">
        <v>22416736.559999999</v>
      </c>
      <c r="F891">
        <v>21645897.59</v>
      </c>
      <c r="G891">
        <v>1349920.37</v>
      </c>
    </row>
    <row r="892" spans="1:7" x14ac:dyDescent="0.25">
      <c r="A892" s="1">
        <v>45474</v>
      </c>
      <c r="B892" t="s">
        <v>7</v>
      </c>
      <c r="C892" t="s">
        <v>970</v>
      </c>
      <c r="D892" t="s">
        <v>973</v>
      </c>
      <c r="E892">
        <v>23712269.530000001</v>
      </c>
      <c r="F892">
        <v>30530172.09</v>
      </c>
      <c r="G892">
        <v>1439711.55</v>
      </c>
    </row>
    <row r="893" spans="1:7" x14ac:dyDescent="0.25">
      <c r="A893" s="1">
        <v>45597</v>
      </c>
      <c r="B893" t="s">
        <v>7</v>
      </c>
      <c r="C893" t="s">
        <v>970</v>
      </c>
      <c r="D893" t="s">
        <v>974</v>
      </c>
      <c r="E893">
        <v>37105266.009999998</v>
      </c>
      <c r="F893">
        <v>28250457.870000001</v>
      </c>
      <c r="G893">
        <v>794179.77</v>
      </c>
    </row>
    <row r="894" spans="1:7" x14ac:dyDescent="0.25">
      <c r="A894" s="1">
        <v>45323</v>
      </c>
      <c r="B894" t="s">
        <v>7</v>
      </c>
      <c r="C894" t="s">
        <v>970</v>
      </c>
      <c r="D894" t="s">
        <v>975</v>
      </c>
      <c r="E894">
        <v>19824646.129999999</v>
      </c>
      <c r="F894">
        <v>18496245.48</v>
      </c>
      <c r="G894">
        <v>5811617.9000000004</v>
      </c>
    </row>
    <row r="895" spans="1:7" x14ac:dyDescent="0.25">
      <c r="A895" s="1">
        <v>45413</v>
      </c>
      <c r="B895" t="s">
        <v>7</v>
      </c>
      <c r="C895" t="s">
        <v>970</v>
      </c>
      <c r="D895" t="s">
        <v>976</v>
      </c>
      <c r="E895">
        <v>25220567.289999999</v>
      </c>
      <c r="F895">
        <v>22938680.609999999</v>
      </c>
      <c r="G895">
        <v>1196469.1000000001</v>
      </c>
    </row>
    <row r="896" spans="1:7" x14ac:dyDescent="0.25">
      <c r="A896" s="1">
        <v>45444</v>
      </c>
      <c r="B896" t="s">
        <v>7</v>
      </c>
      <c r="C896" t="s">
        <v>970</v>
      </c>
      <c r="D896" t="s">
        <v>977</v>
      </c>
      <c r="E896">
        <v>30559518.489999998</v>
      </c>
      <c r="F896">
        <v>24666030.690000001</v>
      </c>
      <c r="G896">
        <v>919074.39</v>
      </c>
    </row>
    <row r="897" spans="1:7" x14ac:dyDescent="0.25">
      <c r="A897" s="1">
        <v>45566</v>
      </c>
      <c r="B897" t="s">
        <v>7</v>
      </c>
      <c r="C897" t="s">
        <v>970</v>
      </c>
      <c r="D897" t="s">
        <v>978</v>
      </c>
      <c r="E897">
        <v>23687966.710000001</v>
      </c>
      <c r="F897">
        <v>23936756.190000001</v>
      </c>
      <c r="G897">
        <v>3716141.61</v>
      </c>
    </row>
    <row r="898" spans="1:7" x14ac:dyDescent="0.25">
      <c r="A898" s="1">
        <v>45627</v>
      </c>
      <c r="B898" t="s">
        <v>7</v>
      </c>
      <c r="C898" t="s">
        <v>970</v>
      </c>
      <c r="D898" t="s">
        <v>979</v>
      </c>
      <c r="E898">
        <v>31161659.18</v>
      </c>
      <c r="F898">
        <v>31689247.010000002</v>
      </c>
      <c r="G898">
        <v>121335.77</v>
      </c>
    </row>
    <row r="899" spans="1:7" x14ac:dyDescent="0.25">
      <c r="A899" s="1">
        <v>45292</v>
      </c>
      <c r="B899" t="s">
        <v>7</v>
      </c>
      <c r="C899" t="s">
        <v>970</v>
      </c>
      <c r="D899" t="s">
        <v>980</v>
      </c>
      <c r="E899">
        <v>21394932.899999999</v>
      </c>
      <c r="F899">
        <v>4796882.0999999996</v>
      </c>
      <c r="G899">
        <v>28805564.289999999</v>
      </c>
    </row>
    <row r="900" spans="1:7" x14ac:dyDescent="0.25">
      <c r="A900" s="1">
        <v>45383</v>
      </c>
      <c r="B900" t="s">
        <v>7</v>
      </c>
      <c r="C900" t="s">
        <v>970</v>
      </c>
      <c r="D900" t="s">
        <v>981</v>
      </c>
      <c r="E900">
        <v>22894532.559999999</v>
      </c>
      <c r="F900">
        <v>23220170.84</v>
      </c>
      <c r="G900">
        <v>1949824.38</v>
      </c>
    </row>
    <row r="901" spans="1:7" x14ac:dyDescent="0.25">
      <c r="A901" s="1">
        <v>45505</v>
      </c>
      <c r="B901" t="s">
        <v>7</v>
      </c>
      <c r="C901" t="s">
        <v>970</v>
      </c>
      <c r="D901" t="s">
        <v>982</v>
      </c>
      <c r="E901">
        <v>22542720.510000002</v>
      </c>
      <c r="F901">
        <v>22393462.890000001</v>
      </c>
      <c r="G901">
        <v>1259242.78</v>
      </c>
    </row>
    <row r="902" spans="1:7" x14ac:dyDescent="0.25">
      <c r="A902" s="1">
        <v>45474</v>
      </c>
      <c r="B902" t="s">
        <v>7</v>
      </c>
      <c r="C902" t="s">
        <v>983</v>
      </c>
      <c r="D902" t="s">
        <v>984</v>
      </c>
      <c r="E902">
        <v>67456520.760000005</v>
      </c>
      <c r="F902">
        <v>83957535.769999996</v>
      </c>
      <c r="G902">
        <v>732022.08</v>
      </c>
    </row>
    <row r="903" spans="1:7" x14ac:dyDescent="0.25">
      <c r="A903" s="1">
        <v>45292</v>
      </c>
      <c r="B903" t="s">
        <v>7</v>
      </c>
      <c r="C903" t="s">
        <v>983</v>
      </c>
      <c r="D903" t="s">
        <v>985</v>
      </c>
      <c r="E903">
        <v>65592955.140000001</v>
      </c>
      <c r="F903">
        <v>13769031.060000001</v>
      </c>
      <c r="G903">
        <v>85731459.640000001</v>
      </c>
    </row>
    <row r="904" spans="1:7" x14ac:dyDescent="0.25">
      <c r="A904" s="1">
        <v>45536</v>
      </c>
      <c r="B904" t="s">
        <v>7</v>
      </c>
      <c r="C904" t="s">
        <v>983</v>
      </c>
      <c r="D904" t="s">
        <v>986</v>
      </c>
      <c r="E904">
        <v>71467025.859999999</v>
      </c>
      <c r="F904">
        <v>73471533.700000003</v>
      </c>
      <c r="G904">
        <v>1422321.31</v>
      </c>
    </row>
    <row r="905" spans="1:7" x14ac:dyDescent="0.25">
      <c r="A905" s="1">
        <v>45597</v>
      </c>
      <c r="B905" t="s">
        <v>7</v>
      </c>
      <c r="C905" t="s">
        <v>983</v>
      </c>
      <c r="D905" t="s">
        <v>987</v>
      </c>
      <c r="E905">
        <v>106592032.69</v>
      </c>
      <c r="F905">
        <v>85555171.659999996</v>
      </c>
      <c r="G905">
        <v>811684.75</v>
      </c>
    </row>
    <row r="906" spans="1:7" x14ac:dyDescent="0.25">
      <c r="A906" s="1">
        <v>45323</v>
      </c>
      <c r="B906" t="s">
        <v>7</v>
      </c>
      <c r="C906" t="s">
        <v>983</v>
      </c>
      <c r="D906" t="s">
        <v>988</v>
      </c>
      <c r="E906">
        <v>65833687.829999998</v>
      </c>
      <c r="F906">
        <v>58820810.979999997</v>
      </c>
      <c r="G906">
        <v>12455341.789999999</v>
      </c>
    </row>
    <row r="907" spans="1:7" x14ac:dyDescent="0.25">
      <c r="A907" s="1">
        <v>45352</v>
      </c>
      <c r="B907" t="s">
        <v>7</v>
      </c>
      <c r="C907" t="s">
        <v>983</v>
      </c>
      <c r="D907" t="s">
        <v>989</v>
      </c>
      <c r="E907">
        <v>67851453.920000002</v>
      </c>
      <c r="F907">
        <v>67250771.329999998</v>
      </c>
      <c r="G907">
        <v>5860793.5099999998</v>
      </c>
    </row>
    <row r="908" spans="1:7" x14ac:dyDescent="0.25">
      <c r="A908" s="1">
        <v>45413</v>
      </c>
      <c r="B908" t="s">
        <v>7</v>
      </c>
      <c r="C908" t="s">
        <v>983</v>
      </c>
      <c r="D908" t="s">
        <v>990</v>
      </c>
      <c r="E908">
        <v>79655919.780000001</v>
      </c>
      <c r="F908">
        <v>69626157.670000002</v>
      </c>
      <c r="G908">
        <v>4869765.38</v>
      </c>
    </row>
    <row r="909" spans="1:7" x14ac:dyDescent="0.25">
      <c r="A909" s="1">
        <v>45627</v>
      </c>
      <c r="B909" t="s">
        <v>7</v>
      </c>
      <c r="C909" t="s">
        <v>983</v>
      </c>
      <c r="D909" t="s">
        <v>991</v>
      </c>
      <c r="E909">
        <v>96959001.760000005</v>
      </c>
      <c r="F909">
        <v>89783288.349999994</v>
      </c>
      <c r="G909">
        <v>909546.6</v>
      </c>
    </row>
    <row r="910" spans="1:7" x14ac:dyDescent="0.25">
      <c r="A910" s="1">
        <v>45444</v>
      </c>
      <c r="B910" t="s">
        <v>7</v>
      </c>
      <c r="C910" t="s">
        <v>983</v>
      </c>
      <c r="D910" t="s">
        <v>992</v>
      </c>
      <c r="E910">
        <v>84279053.489999995</v>
      </c>
      <c r="F910">
        <v>71814124.989999995</v>
      </c>
      <c r="G910">
        <v>1843374.86</v>
      </c>
    </row>
    <row r="911" spans="1:7" x14ac:dyDescent="0.25">
      <c r="A911" s="1">
        <v>45505</v>
      </c>
      <c r="B911" t="s">
        <v>7</v>
      </c>
      <c r="C911" t="s">
        <v>983</v>
      </c>
      <c r="D911" t="s">
        <v>993</v>
      </c>
      <c r="E911">
        <v>74636736.099999994</v>
      </c>
      <c r="F911">
        <v>74944239.689999998</v>
      </c>
      <c r="G911">
        <v>2040365.24</v>
      </c>
    </row>
    <row r="912" spans="1:7" x14ac:dyDescent="0.25">
      <c r="A912" s="1">
        <v>45383</v>
      </c>
      <c r="B912" t="s">
        <v>7</v>
      </c>
      <c r="C912" t="s">
        <v>983</v>
      </c>
      <c r="D912" t="s">
        <v>994</v>
      </c>
      <c r="E912">
        <v>69033568.120000005</v>
      </c>
      <c r="F912">
        <v>68487981.129999995</v>
      </c>
      <c r="G912">
        <v>1826868.29</v>
      </c>
    </row>
    <row r="913" spans="1:7" x14ac:dyDescent="0.25">
      <c r="A913" s="1">
        <v>45566</v>
      </c>
      <c r="B913" t="s">
        <v>7</v>
      </c>
      <c r="C913" t="s">
        <v>983</v>
      </c>
      <c r="D913" t="s">
        <v>995</v>
      </c>
      <c r="E913">
        <v>76277687.939999998</v>
      </c>
      <c r="F913">
        <v>72396358.549999997</v>
      </c>
      <c r="G913">
        <v>1078352.6100000001</v>
      </c>
    </row>
    <row r="914" spans="1:7" x14ac:dyDescent="0.25">
      <c r="A914" s="1">
        <v>45413</v>
      </c>
      <c r="B914" t="s">
        <v>7</v>
      </c>
      <c r="C914" t="s">
        <v>996</v>
      </c>
      <c r="D914" t="s">
        <v>997</v>
      </c>
      <c r="E914">
        <v>11214949.4</v>
      </c>
      <c r="F914">
        <v>10380508.130000001</v>
      </c>
      <c r="G914">
        <v>805478.55</v>
      </c>
    </row>
    <row r="915" spans="1:7" x14ac:dyDescent="0.25">
      <c r="A915" s="1">
        <v>45352</v>
      </c>
      <c r="B915" t="s">
        <v>7</v>
      </c>
      <c r="C915" t="s">
        <v>996</v>
      </c>
      <c r="D915" t="s">
        <v>998</v>
      </c>
      <c r="E915">
        <v>9639202.7899999991</v>
      </c>
      <c r="F915">
        <v>10320084.85</v>
      </c>
      <c r="G915">
        <v>899966.27</v>
      </c>
    </row>
    <row r="916" spans="1:7" x14ac:dyDescent="0.25">
      <c r="A916" s="1">
        <v>45323</v>
      </c>
      <c r="B916" t="s">
        <v>7</v>
      </c>
      <c r="C916" t="s">
        <v>996</v>
      </c>
      <c r="D916" t="s">
        <v>999</v>
      </c>
      <c r="E916">
        <v>10578816.279999999</v>
      </c>
      <c r="F916">
        <v>8384128.3799999999</v>
      </c>
      <c r="G916">
        <v>2034933.77</v>
      </c>
    </row>
    <row r="917" spans="1:7" x14ac:dyDescent="0.25">
      <c r="A917" s="1">
        <v>45597</v>
      </c>
      <c r="B917" t="s">
        <v>7</v>
      </c>
      <c r="C917" t="s">
        <v>996</v>
      </c>
      <c r="D917" t="s">
        <v>1000</v>
      </c>
      <c r="E917">
        <v>13851674.67</v>
      </c>
      <c r="F917">
        <v>11170681.039999999</v>
      </c>
      <c r="G917">
        <v>569449.49</v>
      </c>
    </row>
    <row r="918" spans="1:7" x14ac:dyDescent="0.25">
      <c r="A918" s="1">
        <v>45566</v>
      </c>
      <c r="B918" t="s">
        <v>7</v>
      </c>
      <c r="C918" t="s">
        <v>996</v>
      </c>
      <c r="D918" t="s">
        <v>1001</v>
      </c>
      <c r="E918">
        <v>10436704.67</v>
      </c>
      <c r="F918">
        <v>10612067.91</v>
      </c>
      <c r="G918">
        <v>1021653.87</v>
      </c>
    </row>
    <row r="919" spans="1:7" x14ac:dyDescent="0.25">
      <c r="A919" s="1">
        <v>45536</v>
      </c>
      <c r="B919" t="s">
        <v>7</v>
      </c>
      <c r="C919" t="s">
        <v>996</v>
      </c>
      <c r="D919" t="s">
        <v>1002</v>
      </c>
      <c r="E919">
        <v>10583476.68</v>
      </c>
      <c r="F919">
        <v>10304743.66</v>
      </c>
      <c r="G919">
        <v>1247870.32</v>
      </c>
    </row>
    <row r="920" spans="1:7" x14ac:dyDescent="0.25">
      <c r="A920" s="1">
        <v>45444</v>
      </c>
      <c r="B920" t="s">
        <v>7</v>
      </c>
      <c r="C920" t="s">
        <v>996</v>
      </c>
      <c r="D920" t="s">
        <v>1003</v>
      </c>
      <c r="E920">
        <v>12626012.109999999</v>
      </c>
      <c r="F920">
        <v>10493702.15</v>
      </c>
      <c r="G920">
        <v>640032.69999999995</v>
      </c>
    </row>
    <row r="921" spans="1:7" x14ac:dyDescent="0.25">
      <c r="A921" s="1">
        <v>45627</v>
      </c>
      <c r="B921" t="s">
        <v>7</v>
      </c>
      <c r="C921" t="s">
        <v>996</v>
      </c>
      <c r="D921" t="s">
        <v>1004</v>
      </c>
      <c r="E921">
        <v>21699446.399999999</v>
      </c>
      <c r="F921">
        <v>12914700.939999999</v>
      </c>
      <c r="G921">
        <v>887877.67</v>
      </c>
    </row>
    <row r="922" spans="1:7" x14ac:dyDescent="0.25">
      <c r="A922" s="1">
        <v>45383</v>
      </c>
      <c r="B922" t="s">
        <v>7</v>
      </c>
      <c r="C922" t="s">
        <v>996</v>
      </c>
      <c r="D922" t="s">
        <v>1005</v>
      </c>
      <c r="E922">
        <v>11752813.18</v>
      </c>
      <c r="F922">
        <v>11241998.75</v>
      </c>
      <c r="G922">
        <v>532531.29</v>
      </c>
    </row>
    <row r="923" spans="1:7" x14ac:dyDescent="0.25">
      <c r="A923" s="1">
        <v>45292</v>
      </c>
      <c r="B923" t="s">
        <v>7</v>
      </c>
      <c r="C923" t="s">
        <v>996</v>
      </c>
      <c r="D923" t="s">
        <v>1006</v>
      </c>
      <c r="E923">
        <v>8785955.3599999994</v>
      </c>
      <c r="F923">
        <v>2191552.5299999998</v>
      </c>
      <c r="G923">
        <v>9934872.4199999999</v>
      </c>
    </row>
    <row r="924" spans="1:7" x14ac:dyDescent="0.25">
      <c r="A924" s="1">
        <v>45505</v>
      </c>
      <c r="B924" t="s">
        <v>7</v>
      </c>
      <c r="C924" t="s">
        <v>996</v>
      </c>
      <c r="D924" t="s">
        <v>1007</v>
      </c>
      <c r="E924">
        <v>15362376.449999999</v>
      </c>
      <c r="F924">
        <v>15101006.93</v>
      </c>
      <c r="G924">
        <v>814092.86</v>
      </c>
    </row>
    <row r="925" spans="1:7" x14ac:dyDescent="0.25">
      <c r="A925" s="1">
        <v>45474</v>
      </c>
      <c r="B925" t="s">
        <v>7</v>
      </c>
      <c r="C925" t="s">
        <v>996</v>
      </c>
      <c r="D925" t="s">
        <v>1008</v>
      </c>
      <c r="E925">
        <v>9666739.2200000007</v>
      </c>
      <c r="F925">
        <v>12979068.91</v>
      </c>
      <c r="G925">
        <v>618476.54</v>
      </c>
    </row>
    <row r="926" spans="1:7" x14ac:dyDescent="0.25">
      <c r="A926" s="1">
        <v>45505</v>
      </c>
      <c r="B926" t="s">
        <v>7</v>
      </c>
      <c r="C926" t="s">
        <v>1009</v>
      </c>
      <c r="D926" t="s">
        <v>1010</v>
      </c>
      <c r="E926">
        <v>120578125.56</v>
      </c>
      <c r="F926">
        <v>126767474.20999999</v>
      </c>
      <c r="G926">
        <v>5087652.3600000003</v>
      </c>
    </row>
    <row r="927" spans="1:7" x14ac:dyDescent="0.25">
      <c r="A927" s="1">
        <v>45323</v>
      </c>
      <c r="B927" t="s">
        <v>7</v>
      </c>
      <c r="C927" t="s">
        <v>1009</v>
      </c>
      <c r="D927" t="s">
        <v>1011</v>
      </c>
      <c r="E927">
        <v>116951455.06999999</v>
      </c>
      <c r="F927">
        <v>101887104.40000001</v>
      </c>
      <c r="G927">
        <v>14847523.43</v>
      </c>
    </row>
    <row r="928" spans="1:7" x14ac:dyDescent="0.25">
      <c r="A928" s="1">
        <v>45536</v>
      </c>
      <c r="B928" t="s">
        <v>7</v>
      </c>
      <c r="C928" t="s">
        <v>1009</v>
      </c>
      <c r="D928" t="s">
        <v>1012</v>
      </c>
      <c r="E928">
        <v>129448924.39</v>
      </c>
      <c r="F928">
        <v>132135383.42</v>
      </c>
      <c r="G928">
        <v>886381.69</v>
      </c>
    </row>
    <row r="929" spans="1:7" x14ac:dyDescent="0.25">
      <c r="A929" s="1">
        <v>45413</v>
      </c>
      <c r="B929" t="s">
        <v>7</v>
      </c>
      <c r="C929" t="s">
        <v>1009</v>
      </c>
      <c r="D929" t="s">
        <v>1013</v>
      </c>
      <c r="E929">
        <v>126128111.36</v>
      </c>
      <c r="F929">
        <v>123561242.45</v>
      </c>
      <c r="G929">
        <v>5086117.03</v>
      </c>
    </row>
    <row r="930" spans="1:7" x14ac:dyDescent="0.25">
      <c r="A930" s="1">
        <v>45566</v>
      </c>
      <c r="B930" t="s">
        <v>7</v>
      </c>
      <c r="C930" t="s">
        <v>1009</v>
      </c>
      <c r="D930" t="s">
        <v>1014</v>
      </c>
      <c r="E930">
        <v>135703439.91999999</v>
      </c>
      <c r="F930">
        <v>128562905</v>
      </c>
      <c r="G930">
        <v>541509.09</v>
      </c>
    </row>
    <row r="931" spans="1:7" x14ac:dyDescent="0.25">
      <c r="A931" s="1">
        <v>45444</v>
      </c>
      <c r="B931" t="s">
        <v>7</v>
      </c>
      <c r="C931" t="s">
        <v>1009</v>
      </c>
      <c r="D931" t="s">
        <v>1015</v>
      </c>
      <c r="E931">
        <v>156839177.81</v>
      </c>
      <c r="F931">
        <v>119285437.23999999</v>
      </c>
      <c r="G931">
        <v>6630290.75</v>
      </c>
    </row>
    <row r="932" spans="1:7" x14ac:dyDescent="0.25">
      <c r="A932" s="1">
        <v>45627</v>
      </c>
      <c r="B932" t="s">
        <v>7</v>
      </c>
      <c r="C932" t="s">
        <v>1009</v>
      </c>
      <c r="D932" t="s">
        <v>1016</v>
      </c>
      <c r="E932">
        <v>140521771.08000001</v>
      </c>
      <c r="F932">
        <v>175920853.5</v>
      </c>
      <c r="G932">
        <v>1661204.02</v>
      </c>
    </row>
    <row r="933" spans="1:7" x14ac:dyDescent="0.25">
      <c r="A933" s="1">
        <v>45383</v>
      </c>
      <c r="B933" t="s">
        <v>7</v>
      </c>
      <c r="C933" t="s">
        <v>1009</v>
      </c>
      <c r="D933" t="s">
        <v>1017</v>
      </c>
      <c r="E933">
        <v>123318063.05</v>
      </c>
      <c r="F933">
        <v>114219143</v>
      </c>
      <c r="G933">
        <v>17411886.399999999</v>
      </c>
    </row>
    <row r="934" spans="1:7" x14ac:dyDescent="0.25">
      <c r="A934" s="1">
        <v>45352</v>
      </c>
      <c r="B934" t="s">
        <v>7</v>
      </c>
      <c r="C934" t="s">
        <v>1009</v>
      </c>
      <c r="D934" t="s">
        <v>1018</v>
      </c>
      <c r="E934">
        <v>115129402.11</v>
      </c>
      <c r="F934">
        <v>115207339.04000001</v>
      </c>
      <c r="G934">
        <v>18670861.949999999</v>
      </c>
    </row>
    <row r="935" spans="1:7" x14ac:dyDescent="0.25">
      <c r="A935" s="1">
        <v>45597</v>
      </c>
      <c r="B935" t="s">
        <v>7</v>
      </c>
      <c r="C935" t="s">
        <v>1009</v>
      </c>
      <c r="D935" t="s">
        <v>1019</v>
      </c>
      <c r="E935">
        <v>184030147.66</v>
      </c>
      <c r="F935">
        <v>159867737.36000001</v>
      </c>
      <c r="G935">
        <v>444085.69</v>
      </c>
    </row>
    <row r="936" spans="1:7" x14ac:dyDescent="0.25">
      <c r="A936" s="1">
        <v>45474</v>
      </c>
      <c r="B936" t="s">
        <v>7</v>
      </c>
      <c r="C936" t="s">
        <v>1009</v>
      </c>
      <c r="D936" t="s">
        <v>1020</v>
      </c>
      <c r="E936">
        <v>120055893.94</v>
      </c>
      <c r="F936">
        <v>157302295.41999999</v>
      </c>
      <c r="G936">
        <v>2127691.7400000002</v>
      </c>
    </row>
    <row r="937" spans="1:7" x14ac:dyDescent="0.25">
      <c r="A937" s="1">
        <v>45292</v>
      </c>
      <c r="B937" t="s">
        <v>7</v>
      </c>
      <c r="C937" t="s">
        <v>1009</v>
      </c>
      <c r="D937" t="s">
        <v>1021</v>
      </c>
      <c r="E937">
        <v>114678934.72</v>
      </c>
      <c r="F937">
        <v>20052346.620000001</v>
      </c>
      <c r="G937">
        <v>115905310.23</v>
      </c>
    </row>
    <row r="938" spans="1:7" x14ac:dyDescent="0.25">
      <c r="A938" s="1">
        <v>45292</v>
      </c>
      <c r="B938" t="s">
        <v>7</v>
      </c>
      <c r="C938" t="s">
        <v>1022</v>
      </c>
      <c r="D938" t="s">
        <v>1023</v>
      </c>
      <c r="E938">
        <v>20543469.73</v>
      </c>
      <c r="F938">
        <v>4147037.63</v>
      </c>
      <c r="G938">
        <v>24636007.98</v>
      </c>
    </row>
    <row r="939" spans="1:7" x14ac:dyDescent="0.25">
      <c r="A939" s="1">
        <v>45474</v>
      </c>
      <c r="B939" t="s">
        <v>7</v>
      </c>
      <c r="C939" t="s">
        <v>1022</v>
      </c>
      <c r="D939" t="s">
        <v>1024</v>
      </c>
      <c r="E939">
        <v>22690361.359999999</v>
      </c>
      <c r="F939">
        <v>28773804.399999999</v>
      </c>
      <c r="G939">
        <v>427201.64</v>
      </c>
    </row>
    <row r="940" spans="1:7" x14ac:dyDescent="0.25">
      <c r="A940" s="1">
        <v>45352</v>
      </c>
      <c r="B940" t="s">
        <v>7</v>
      </c>
      <c r="C940" t="s">
        <v>1022</v>
      </c>
      <c r="D940" t="s">
        <v>1025</v>
      </c>
      <c r="E940">
        <v>19522811.190000001</v>
      </c>
      <c r="F940">
        <v>19219537.16</v>
      </c>
      <c r="G940">
        <v>3236976.46</v>
      </c>
    </row>
    <row r="941" spans="1:7" x14ac:dyDescent="0.25">
      <c r="A941" s="1">
        <v>45323</v>
      </c>
      <c r="B941" t="s">
        <v>7</v>
      </c>
      <c r="C941" t="s">
        <v>1022</v>
      </c>
      <c r="D941" t="s">
        <v>1026</v>
      </c>
      <c r="E941">
        <v>19279414.760000002</v>
      </c>
      <c r="F941">
        <v>18124165.469999999</v>
      </c>
      <c r="G941">
        <v>5196717.34</v>
      </c>
    </row>
    <row r="942" spans="1:7" x14ac:dyDescent="0.25">
      <c r="A942" s="1">
        <v>45627</v>
      </c>
      <c r="B942" t="s">
        <v>7</v>
      </c>
      <c r="C942" t="s">
        <v>1022</v>
      </c>
      <c r="D942" t="s">
        <v>1027</v>
      </c>
      <c r="E942">
        <v>28628651.079999998</v>
      </c>
      <c r="F942">
        <v>29280497.129999999</v>
      </c>
      <c r="G942">
        <v>660650.22</v>
      </c>
    </row>
    <row r="943" spans="1:7" x14ac:dyDescent="0.25">
      <c r="A943" s="1">
        <v>45566</v>
      </c>
      <c r="B943" t="s">
        <v>7</v>
      </c>
      <c r="C943" t="s">
        <v>1022</v>
      </c>
      <c r="D943" t="s">
        <v>1028</v>
      </c>
      <c r="E943">
        <v>22968614.329999998</v>
      </c>
      <c r="F943">
        <v>23105358.530000001</v>
      </c>
      <c r="G943">
        <v>341880.31</v>
      </c>
    </row>
    <row r="944" spans="1:7" x14ac:dyDescent="0.25">
      <c r="A944" s="1">
        <v>45413</v>
      </c>
      <c r="B944" t="s">
        <v>7</v>
      </c>
      <c r="C944" t="s">
        <v>1022</v>
      </c>
      <c r="D944" t="s">
        <v>1029</v>
      </c>
      <c r="E944">
        <v>21745945.899999999</v>
      </c>
      <c r="F944">
        <v>20430864.379999999</v>
      </c>
      <c r="G944">
        <v>1621357.14</v>
      </c>
    </row>
    <row r="945" spans="1:7" x14ac:dyDescent="0.25">
      <c r="A945" s="1">
        <v>45444</v>
      </c>
      <c r="B945" t="s">
        <v>7</v>
      </c>
      <c r="C945" t="s">
        <v>1022</v>
      </c>
      <c r="D945" t="s">
        <v>1030</v>
      </c>
      <c r="E945">
        <v>27902915.379999999</v>
      </c>
      <c r="F945">
        <v>22158434</v>
      </c>
      <c r="G945">
        <v>1067661.48</v>
      </c>
    </row>
    <row r="946" spans="1:7" x14ac:dyDescent="0.25">
      <c r="A946" s="1">
        <v>45505</v>
      </c>
      <c r="B946" t="s">
        <v>7</v>
      </c>
      <c r="C946" t="s">
        <v>1022</v>
      </c>
      <c r="D946" t="s">
        <v>1031</v>
      </c>
      <c r="E946">
        <v>23267702.219999999</v>
      </c>
      <c r="F946">
        <v>22519222.620000001</v>
      </c>
      <c r="G946">
        <v>303530.23999999999</v>
      </c>
    </row>
    <row r="947" spans="1:7" x14ac:dyDescent="0.25">
      <c r="A947" s="1">
        <v>45383</v>
      </c>
      <c r="B947" t="s">
        <v>7</v>
      </c>
      <c r="C947" t="s">
        <v>1022</v>
      </c>
      <c r="D947" t="s">
        <v>1032</v>
      </c>
      <c r="E947">
        <v>20321986.870000001</v>
      </c>
      <c r="F947">
        <v>20440068.309999999</v>
      </c>
      <c r="G947">
        <v>3832737.43</v>
      </c>
    </row>
    <row r="948" spans="1:7" x14ac:dyDescent="0.25">
      <c r="A948" s="1">
        <v>45597</v>
      </c>
      <c r="B948" t="s">
        <v>7</v>
      </c>
      <c r="C948" t="s">
        <v>1022</v>
      </c>
      <c r="D948" t="s">
        <v>1033</v>
      </c>
      <c r="E948">
        <v>33971518.770000003</v>
      </c>
      <c r="F948">
        <v>26155618.890000001</v>
      </c>
      <c r="G948">
        <v>219160</v>
      </c>
    </row>
    <row r="949" spans="1:7" x14ac:dyDescent="0.25">
      <c r="A949" s="1">
        <v>45536</v>
      </c>
      <c r="B949" t="s">
        <v>7</v>
      </c>
      <c r="C949" t="s">
        <v>1022</v>
      </c>
      <c r="D949" t="s">
        <v>1034</v>
      </c>
      <c r="E949">
        <v>22836263.600000001</v>
      </c>
      <c r="F949">
        <v>23293008.23</v>
      </c>
      <c r="G949">
        <v>215256.01</v>
      </c>
    </row>
    <row r="950" spans="1:7" x14ac:dyDescent="0.25">
      <c r="A950" s="1">
        <v>45292</v>
      </c>
      <c r="B950" t="s">
        <v>7</v>
      </c>
      <c r="C950" t="s">
        <v>1035</v>
      </c>
      <c r="D950" t="s">
        <v>1036</v>
      </c>
      <c r="E950">
        <v>9266651.1099999994</v>
      </c>
      <c r="F950">
        <v>2210110.5099999998</v>
      </c>
      <c r="G950">
        <v>7560759.6100000003</v>
      </c>
    </row>
    <row r="951" spans="1:7" x14ac:dyDescent="0.25">
      <c r="A951" s="1">
        <v>45597</v>
      </c>
      <c r="B951" t="s">
        <v>7</v>
      </c>
      <c r="C951" t="s">
        <v>1035</v>
      </c>
      <c r="D951" t="s">
        <v>1037</v>
      </c>
      <c r="E951">
        <v>16423851.73</v>
      </c>
      <c r="F951">
        <v>12927857.220000001</v>
      </c>
      <c r="G951">
        <v>4460.3999999999996</v>
      </c>
    </row>
    <row r="952" spans="1:7" x14ac:dyDescent="0.25">
      <c r="A952" s="1">
        <v>45323</v>
      </c>
      <c r="B952" t="s">
        <v>7</v>
      </c>
      <c r="C952" t="s">
        <v>1035</v>
      </c>
      <c r="D952" t="s">
        <v>1038</v>
      </c>
      <c r="E952">
        <v>10913421.24</v>
      </c>
      <c r="F952">
        <v>8975348.4199999999</v>
      </c>
      <c r="G952">
        <v>671701.17</v>
      </c>
    </row>
    <row r="953" spans="1:7" x14ac:dyDescent="0.25">
      <c r="A953" s="1">
        <v>45444</v>
      </c>
      <c r="B953" t="s">
        <v>7</v>
      </c>
      <c r="C953" t="s">
        <v>1035</v>
      </c>
      <c r="D953" t="s">
        <v>1039</v>
      </c>
      <c r="E953">
        <v>14113894.369999999</v>
      </c>
      <c r="F953">
        <v>12236834.6</v>
      </c>
      <c r="G953">
        <v>18515.650000000001</v>
      </c>
    </row>
    <row r="954" spans="1:7" x14ac:dyDescent="0.25">
      <c r="A954" s="1">
        <v>45566</v>
      </c>
      <c r="B954" t="s">
        <v>7</v>
      </c>
      <c r="C954" t="s">
        <v>1035</v>
      </c>
      <c r="D954" t="s">
        <v>1040</v>
      </c>
      <c r="E954">
        <v>10293305.83</v>
      </c>
      <c r="F954">
        <v>10785157.48</v>
      </c>
      <c r="G954">
        <v>45966.21</v>
      </c>
    </row>
    <row r="955" spans="1:7" x14ac:dyDescent="0.25">
      <c r="A955" s="1">
        <v>45536</v>
      </c>
      <c r="B955" t="s">
        <v>7</v>
      </c>
      <c r="C955" t="s">
        <v>1035</v>
      </c>
      <c r="D955" t="s">
        <v>1041</v>
      </c>
      <c r="E955">
        <v>11055975.470000001</v>
      </c>
      <c r="F955">
        <v>10909110.630000001</v>
      </c>
      <c r="G955">
        <v>41996.480000000003</v>
      </c>
    </row>
    <row r="956" spans="1:7" x14ac:dyDescent="0.25">
      <c r="A956" s="1">
        <v>45413</v>
      </c>
      <c r="B956" t="s">
        <v>7</v>
      </c>
      <c r="C956" t="s">
        <v>1035</v>
      </c>
      <c r="D956" t="s">
        <v>1042</v>
      </c>
      <c r="E956">
        <v>12516920.890000001</v>
      </c>
      <c r="F956">
        <v>10482693.18</v>
      </c>
      <c r="G956">
        <v>224991.93</v>
      </c>
    </row>
    <row r="957" spans="1:7" x14ac:dyDescent="0.25">
      <c r="A957" s="1">
        <v>45352</v>
      </c>
      <c r="B957" t="s">
        <v>7</v>
      </c>
      <c r="C957" t="s">
        <v>1035</v>
      </c>
      <c r="D957" t="s">
        <v>1043</v>
      </c>
      <c r="E957">
        <v>10059655.26</v>
      </c>
      <c r="F957">
        <v>11927758.98</v>
      </c>
      <c r="G957">
        <v>867149.76</v>
      </c>
    </row>
    <row r="958" spans="1:7" x14ac:dyDescent="0.25">
      <c r="A958" s="1">
        <v>45383</v>
      </c>
      <c r="B958" t="s">
        <v>7</v>
      </c>
      <c r="C958" t="s">
        <v>1035</v>
      </c>
      <c r="D958" t="s">
        <v>1044</v>
      </c>
      <c r="E958">
        <v>10385637.92</v>
      </c>
      <c r="F958">
        <v>9998734.9800000004</v>
      </c>
      <c r="G958">
        <v>61471.01</v>
      </c>
    </row>
    <row r="959" spans="1:7" x14ac:dyDescent="0.25">
      <c r="A959" s="1">
        <v>45474</v>
      </c>
      <c r="B959" t="s">
        <v>7</v>
      </c>
      <c r="C959" t="s">
        <v>1035</v>
      </c>
      <c r="D959" t="s">
        <v>1045</v>
      </c>
      <c r="E959">
        <v>11656442.85</v>
      </c>
      <c r="F959">
        <v>13780523.84</v>
      </c>
      <c r="G959">
        <v>4662.07</v>
      </c>
    </row>
    <row r="960" spans="1:7" x14ac:dyDescent="0.25">
      <c r="A960" s="1">
        <v>45627</v>
      </c>
      <c r="B960" t="s">
        <v>7</v>
      </c>
      <c r="C960" t="s">
        <v>1035</v>
      </c>
      <c r="D960" t="s">
        <v>1046</v>
      </c>
      <c r="E960">
        <v>13085958.199999999</v>
      </c>
      <c r="F960">
        <v>14065204.439999999</v>
      </c>
      <c r="G960">
        <v>99.64</v>
      </c>
    </row>
    <row r="961" spans="1:7" x14ac:dyDescent="0.25">
      <c r="A961" s="1">
        <v>45505</v>
      </c>
      <c r="B961" t="s">
        <v>7</v>
      </c>
      <c r="C961" t="s">
        <v>1035</v>
      </c>
      <c r="D961" t="s">
        <v>1047</v>
      </c>
      <c r="E961">
        <v>11675719.039999999</v>
      </c>
      <c r="F961">
        <v>11472643.859999999</v>
      </c>
      <c r="G961">
        <v>198484.17</v>
      </c>
    </row>
    <row r="962" spans="1:7" x14ac:dyDescent="0.25">
      <c r="A962" s="1">
        <v>45413</v>
      </c>
      <c r="B962" t="s">
        <v>7</v>
      </c>
      <c r="C962" t="s">
        <v>1048</v>
      </c>
      <c r="D962" t="s">
        <v>1049</v>
      </c>
      <c r="E962">
        <v>97979427.810000002</v>
      </c>
      <c r="F962">
        <v>92868973.870000005</v>
      </c>
      <c r="G962">
        <v>7440991.2699999996</v>
      </c>
    </row>
    <row r="963" spans="1:7" x14ac:dyDescent="0.25">
      <c r="A963" s="1">
        <v>45566</v>
      </c>
      <c r="B963" t="s">
        <v>7</v>
      </c>
      <c r="C963" t="s">
        <v>1048</v>
      </c>
      <c r="D963" t="s">
        <v>1050</v>
      </c>
      <c r="E963">
        <v>99959552.230000004</v>
      </c>
      <c r="F963">
        <v>100356250.12</v>
      </c>
      <c r="G963">
        <v>2266810.15</v>
      </c>
    </row>
    <row r="964" spans="1:7" x14ac:dyDescent="0.25">
      <c r="A964" s="1">
        <v>45383</v>
      </c>
      <c r="B964" t="s">
        <v>7</v>
      </c>
      <c r="C964" t="s">
        <v>1048</v>
      </c>
      <c r="D964" t="s">
        <v>1051</v>
      </c>
      <c r="E964">
        <v>91655663.829999998</v>
      </c>
      <c r="F964">
        <v>92492456.140000001</v>
      </c>
      <c r="G964">
        <v>5970312.3300000001</v>
      </c>
    </row>
    <row r="965" spans="1:7" x14ac:dyDescent="0.25">
      <c r="A965" s="1">
        <v>45323</v>
      </c>
      <c r="B965" t="s">
        <v>7</v>
      </c>
      <c r="C965" t="s">
        <v>1048</v>
      </c>
      <c r="D965" t="s">
        <v>1052</v>
      </c>
      <c r="E965">
        <v>81043165.489999995</v>
      </c>
      <c r="F965">
        <v>85377307.780000001</v>
      </c>
      <c r="G965">
        <v>26806727.800000001</v>
      </c>
    </row>
    <row r="966" spans="1:7" x14ac:dyDescent="0.25">
      <c r="A966" s="1">
        <v>45352</v>
      </c>
      <c r="B966" t="s">
        <v>7</v>
      </c>
      <c r="C966" t="s">
        <v>1048</v>
      </c>
      <c r="D966" t="s">
        <v>1053</v>
      </c>
      <c r="E966">
        <v>86171120.120000005</v>
      </c>
      <c r="F966">
        <v>85436779.370000005</v>
      </c>
      <c r="G966">
        <v>4492974.2</v>
      </c>
    </row>
    <row r="967" spans="1:7" x14ac:dyDescent="0.25">
      <c r="A967" s="1">
        <v>45474</v>
      </c>
      <c r="B967" t="s">
        <v>7</v>
      </c>
      <c r="C967" t="s">
        <v>1048</v>
      </c>
      <c r="D967" t="s">
        <v>1054</v>
      </c>
      <c r="E967">
        <v>114790071.78</v>
      </c>
      <c r="F967">
        <v>137683575.44999999</v>
      </c>
      <c r="G967">
        <v>3331886.95</v>
      </c>
    </row>
    <row r="968" spans="1:7" x14ac:dyDescent="0.25">
      <c r="A968" s="1">
        <v>45444</v>
      </c>
      <c r="B968" t="s">
        <v>7</v>
      </c>
      <c r="C968" t="s">
        <v>1048</v>
      </c>
      <c r="D968" t="s">
        <v>1055</v>
      </c>
      <c r="E968">
        <v>115060955.40000001</v>
      </c>
      <c r="F968">
        <v>94644860.209999993</v>
      </c>
      <c r="G968">
        <v>2239203.62</v>
      </c>
    </row>
    <row r="969" spans="1:7" x14ac:dyDescent="0.25">
      <c r="A969" s="1">
        <v>45505</v>
      </c>
      <c r="B969" t="s">
        <v>7</v>
      </c>
      <c r="C969" t="s">
        <v>1048</v>
      </c>
      <c r="D969" t="s">
        <v>1056</v>
      </c>
      <c r="E969">
        <v>92825170.370000005</v>
      </c>
      <c r="F969">
        <v>91626864.099999994</v>
      </c>
      <c r="G969">
        <v>3566524.5</v>
      </c>
    </row>
    <row r="970" spans="1:7" x14ac:dyDescent="0.25">
      <c r="A970" s="1">
        <v>45597</v>
      </c>
      <c r="B970" t="s">
        <v>7</v>
      </c>
      <c r="C970" t="s">
        <v>1048</v>
      </c>
      <c r="D970" t="s">
        <v>1057</v>
      </c>
      <c r="E970">
        <v>155882389.81</v>
      </c>
      <c r="F970">
        <v>129209159.33</v>
      </c>
      <c r="G970">
        <v>293307.81</v>
      </c>
    </row>
    <row r="971" spans="1:7" x14ac:dyDescent="0.25">
      <c r="A971" s="1">
        <v>45627</v>
      </c>
      <c r="B971" t="s">
        <v>7</v>
      </c>
      <c r="C971" t="s">
        <v>1048</v>
      </c>
      <c r="D971" t="s">
        <v>1058</v>
      </c>
      <c r="E971">
        <v>113607552.81999999</v>
      </c>
      <c r="F971">
        <v>122507211.36</v>
      </c>
      <c r="G971">
        <v>692668.44</v>
      </c>
    </row>
    <row r="972" spans="1:7" x14ac:dyDescent="0.25">
      <c r="A972" s="1">
        <v>45536</v>
      </c>
      <c r="B972" t="s">
        <v>7</v>
      </c>
      <c r="C972" t="s">
        <v>1048</v>
      </c>
      <c r="D972" t="s">
        <v>1059</v>
      </c>
      <c r="E972">
        <v>86446488.75</v>
      </c>
      <c r="F972">
        <v>86270030.569999993</v>
      </c>
      <c r="G972">
        <v>687939.02</v>
      </c>
    </row>
    <row r="973" spans="1:7" x14ac:dyDescent="0.25">
      <c r="A973" s="1">
        <v>45292</v>
      </c>
      <c r="B973" t="s">
        <v>7</v>
      </c>
      <c r="C973" t="s">
        <v>1048</v>
      </c>
      <c r="D973" t="s">
        <v>1060</v>
      </c>
      <c r="E973">
        <v>77687518.269999996</v>
      </c>
      <c r="F973">
        <v>832613.23</v>
      </c>
      <c r="G973">
        <v>114969492.09999999</v>
      </c>
    </row>
    <row r="974" spans="1:7" x14ac:dyDescent="0.25">
      <c r="A974" s="1">
        <v>45383</v>
      </c>
      <c r="B974" t="s">
        <v>7</v>
      </c>
      <c r="C974" t="s">
        <v>1061</v>
      </c>
      <c r="D974" t="s">
        <v>1062</v>
      </c>
      <c r="E974">
        <v>38326828.25</v>
      </c>
      <c r="F974">
        <v>38124218.259999998</v>
      </c>
      <c r="G974">
        <v>1409175.09</v>
      </c>
    </row>
    <row r="975" spans="1:7" x14ac:dyDescent="0.25">
      <c r="A975" s="1">
        <v>45352</v>
      </c>
      <c r="B975" t="s">
        <v>7</v>
      </c>
      <c r="C975" t="s">
        <v>1061</v>
      </c>
      <c r="D975" t="s">
        <v>1063</v>
      </c>
      <c r="E975">
        <v>37599942.380000003</v>
      </c>
      <c r="F975">
        <v>37234411.299999997</v>
      </c>
      <c r="G975">
        <v>2979557.71</v>
      </c>
    </row>
    <row r="976" spans="1:7" x14ac:dyDescent="0.25">
      <c r="A976" s="1">
        <v>45413</v>
      </c>
      <c r="B976" t="s">
        <v>7</v>
      </c>
      <c r="C976" t="s">
        <v>1061</v>
      </c>
      <c r="D976" t="s">
        <v>1064</v>
      </c>
      <c r="E976">
        <v>39660201.689999998</v>
      </c>
      <c r="F976">
        <v>37796971.640000001</v>
      </c>
      <c r="G976">
        <v>2223140.27</v>
      </c>
    </row>
    <row r="977" spans="1:7" x14ac:dyDescent="0.25">
      <c r="A977" s="1">
        <v>45536</v>
      </c>
      <c r="B977" t="s">
        <v>7</v>
      </c>
      <c r="C977" t="s">
        <v>1061</v>
      </c>
      <c r="D977" t="s">
        <v>1065</v>
      </c>
      <c r="E977">
        <v>37720055.420000002</v>
      </c>
      <c r="F977">
        <v>38538115.939999998</v>
      </c>
      <c r="G977">
        <v>297445.24</v>
      </c>
    </row>
    <row r="978" spans="1:7" x14ac:dyDescent="0.25">
      <c r="A978" s="1">
        <v>45566</v>
      </c>
      <c r="B978" t="s">
        <v>7</v>
      </c>
      <c r="C978" t="s">
        <v>1061</v>
      </c>
      <c r="D978" t="s">
        <v>1066</v>
      </c>
      <c r="E978">
        <v>38063918.840000004</v>
      </c>
      <c r="F978">
        <v>38408817.689999998</v>
      </c>
      <c r="G978">
        <v>157945.1</v>
      </c>
    </row>
    <row r="979" spans="1:7" x14ac:dyDescent="0.25">
      <c r="A979" s="1">
        <v>45627</v>
      </c>
      <c r="B979" t="s">
        <v>7</v>
      </c>
      <c r="C979" t="s">
        <v>1061</v>
      </c>
      <c r="D979" t="s">
        <v>1067</v>
      </c>
      <c r="E979">
        <v>44031002.030000001</v>
      </c>
      <c r="F979">
        <v>47621849.520000003</v>
      </c>
      <c r="G979">
        <v>282442.69</v>
      </c>
    </row>
    <row r="980" spans="1:7" x14ac:dyDescent="0.25">
      <c r="A980" s="1">
        <v>45474</v>
      </c>
      <c r="B980" t="s">
        <v>7</v>
      </c>
      <c r="C980" t="s">
        <v>1061</v>
      </c>
      <c r="D980" t="s">
        <v>1068</v>
      </c>
      <c r="E980">
        <v>38723109.909999996</v>
      </c>
      <c r="F980">
        <v>47640566.979999997</v>
      </c>
      <c r="G980">
        <v>671928.58</v>
      </c>
    </row>
    <row r="981" spans="1:7" x14ac:dyDescent="0.25">
      <c r="A981" s="1">
        <v>45505</v>
      </c>
      <c r="B981" t="s">
        <v>7</v>
      </c>
      <c r="C981" t="s">
        <v>1061</v>
      </c>
      <c r="D981" t="s">
        <v>1069</v>
      </c>
      <c r="E981">
        <v>40148200.469999999</v>
      </c>
      <c r="F981">
        <v>38947823.43</v>
      </c>
      <c r="G981">
        <v>733640.01</v>
      </c>
    </row>
    <row r="982" spans="1:7" x14ac:dyDescent="0.25">
      <c r="A982" s="1">
        <v>45292</v>
      </c>
      <c r="B982" t="s">
        <v>7</v>
      </c>
      <c r="C982" t="s">
        <v>1061</v>
      </c>
      <c r="D982" t="s">
        <v>1070</v>
      </c>
      <c r="E982">
        <v>32726502.73</v>
      </c>
      <c r="F982">
        <v>6330059.0099999998</v>
      </c>
      <c r="G982">
        <v>41619307.329999998</v>
      </c>
    </row>
    <row r="983" spans="1:7" x14ac:dyDescent="0.25">
      <c r="A983" s="1">
        <v>45597</v>
      </c>
      <c r="B983" t="s">
        <v>7</v>
      </c>
      <c r="C983" t="s">
        <v>1061</v>
      </c>
      <c r="D983" t="s">
        <v>1071</v>
      </c>
      <c r="E983">
        <v>56456564.590000004</v>
      </c>
      <c r="F983">
        <v>43494040.82</v>
      </c>
      <c r="G983">
        <v>92449.21</v>
      </c>
    </row>
    <row r="984" spans="1:7" x14ac:dyDescent="0.25">
      <c r="A984" s="1">
        <v>45444</v>
      </c>
      <c r="B984" t="s">
        <v>7</v>
      </c>
      <c r="C984" t="s">
        <v>1061</v>
      </c>
      <c r="D984" t="s">
        <v>1072</v>
      </c>
      <c r="E984">
        <v>47175815.259999998</v>
      </c>
      <c r="F984">
        <v>39155219.060000002</v>
      </c>
      <c r="G984">
        <v>1418521.23</v>
      </c>
    </row>
    <row r="985" spans="1:7" x14ac:dyDescent="0.25">
      <c r="A985" s="1">
        <v>45323</v>
      </c>
      <c r="B985" t="s">
        <v>7</v>
      </c>
      <c r="C985" t="s">
        <v>1061</v>
      </c>
      <c r="D985" t="s">
        <v>1073</v>
      </c>
      <c r="E985">
        <v>33364736.859999999</v>
      </c>
      <c r="F985">
        <v>29995961.440000001</v>
      </c>
      <c r="G985">
        <v>15964292.109999999</v>
      </c>
    </row>
    <row r="986" spans="1:7" x14ac:dyDescent="0.25">
      <c r="A986" s="1">
        <v>45536</v>
      </c>
      <c r="B986" t="s">
        <v>7</v>
      </c>
      <c r="C986" t="s">
        <v>1074</v>
      </c>
      <c r="D986" t="s">
        <v>1075</v>
      </c>
      <c r="E986">
        <v>214114961.31</v>
      </c>
      <c r="F986">
        <v>223924061.36000001</v>
      </c>
      <c r="G986">
        <v>1379156.05</v>
      </c>
    </row>
    <row r="987" spans="1:7" x14ac:dyDescent="0.25">
      <c r="A987" s="1">
        <v>45566</v>
      </c>
      <c r="B987" t="s">
        <v>7</v>
      </c>
      <c r="C987" t="s">
        <v>1074</v>
      </c>
      <c r="D987" t="s">
        <v>1076</v>
      </c>
      <c r="E987">
        <v>222059213.38</v>
      </c>
      <c r="F987">
        <v>216882932.63999999</v>
      </c>
      <c r="G987">
        <v>3681447.55</v>
      </c>
    </row>
    <row r="988" spans="1:7" x14ac:dyDescent="0.25">
      <c r="A988" s="1">
        <v>45627</v>
      </c>
      <c r="B988" t="s">
        <v>7</v>
      </c>
      <c r="C988" t="s">
        <v>1074</v>
      </c>
      <c r="D988" t="s">
        <v>1077</v>
      </c>
      <c r="E988">
        <v>296406024.25</v>
      </c>
      <c r="F988">
        <v>324562638.93000001</v>
      </c>
      <c r="G988">
        <v>3699776.95</v>
      </c>
    </row>
    <row r="989" spans="1:7" x14ac:dyDescent="0.25">
      <c r="A989" s="1">
        <v>45383</v>
      </c>
      <c r="B989" t="s">
        <v>7</v>
      </c>
      <c r="C989" t="s">
        <v>1074</v>
      </c>
      <c r="D989" t="s">
        <v>1078</v>
      </c>
      <c r="E989">
        <v>227864487.99000001</v>
      </c>
      <c r="F989">
        <v>209452842.86000001</v>
      </c>
      <c r="G989">
        <v>4107514.59</v>
      </c>
    </row>
    <row r="990" spans="1:7" x14ac:dyDescent="0.25">
      <c r="A990" s="1">
        <v>45323</v>
      </c>
      <c r="B990" t="s">
        <v>7</v>
      </c>
      <c r="C990" t="s">
        <v>1074</v>
      </c>
      <c r="D990" t="s">
        <v>1079</v>
      </c>
      <c r="E990">
        <v>202728243.41999999</v>
      </c>
      <c r="F990">
        <v>181746720.22</v>
      </c>
      <c r="G990">
        <v>39844656.539999999</v>
      </c>
    </row>
    <row r="991" spans="1:7" x14ac:dyDescent="0.25">
      <c r="A991" s="1">
        <v>45352</v>
      </c>
      <c r="B991" t="s">
        <v>7</v>
      </c>
      <c r="C991" t="s">
        <v>1074</v>
      </c>
      <c r="D991" t="s">
        <v>1080</v>
      </c>
      <c r="E991">
        <v>203117407.66</v>
      </c>
      <c r="F991">
        <v>204912009.88</v>
      </c>
      <c r="G991">
        <v>17410316.449999999</v>
      </c>
    </row>
    <row r="992" spans="1:7" x14ac:dyDescent="0.25">
      <c r="A992" s="1">
        <v>45444</v>
      </c>
      <c r="B992" t="s">
        <v>7</v>
      </c>
      <c r="C992" t="s">
        <v>1074</v>
      </c>
      <c r="D992" t="s">
        <v>1081</v>
      </c>
      <c r="E992">
        <v>289066560.67000002</v>
      </c>
      <c r="F992">
        <v>218896187.44999999</v>
      </c>
      <c r="G992">
        <v>838092.2</v>
      </c>
    </row>
    <row r="993" spans="1:7" x14ac:dyDescent="0.25">
      <c r="A993" s="1">
        <v>45505</v>
      </c>
      <c r="B993" t="s">
        <v>7</v>
      </c>
      <c r="C993" t="s">
        <v>1074</v>
      </c>
      <c r="D993" t="s">
        <v>1082</v>
      </c>
      <c r="E993">
        <v>218594206.78</v>
      </c>
      <c r="F993">
        <v>225137486.41</v>
      </c>
      <c r="G993">
        <v>1061545.83</v>
      </c>
    </row>
    <row r="994" spans="1:7" x14ac:dyDescent="0.25">
      <c r="A994" s="1">
        <v>45413</v>
      </c>
      <c r="B994" t="s">
        <v>7</v>
      </c>
      <c r="C994" t="s">
        <v>1074</v>
      </c>
      <c r="D994" t="s">
        <v>1083</v>
      </c>
      <c r="E994">
        <v>225395090.61000001</v>
      </c>
      <c r="F994">
        <v>225761146.55000001</v>
      </c>
      <c r="G994">
        <v>6747404.6100000003</v>
      </c>
    </row>
    <row r="995" spans="1:7" x14ac:dyDescent="0.25">
      <c r="A995" s="1">
        <v>45597</v>
      </c>
      <c r="B995" t="s">
        <v>7</v>
      </c>
      <c r="C995" t="s">
        <v>1074</v>
      </c>
      <c r="D995" t="s">
        <v>1084</v>
      </c>
      <c r="E995">
        <v>339127244.38999999</v>
      </c>
      <c r="F995">
        <v>258937298.31</v>
      </c>
      <c r="G995">
        <v>1189234.2</v>
      </c>
    </row>
    <row r="996" spans="1:7" x14ac:dyDescent="0.25">
      <c r="A996" s="1">
        <v>45474</v>
      </c>
      <c r="B996" t="s">
        <v>7</v>
      </c>
      <c r="C996" t="s">
        <v>1074</v>
      </c>
      <c r="D996" t="s">
        <v>1085</v>
      </c>
      <c r="E996">
        <v>231818899.78999999</v>
      </c>
      <c r="F996">
        <v>293229713.37</v>
      </c>
      <c r="G996">
        <v>2428438.0299999998</v>
      </c>
    </row>
    <row r="997" spans="1:7" x14ac:dyDescent="0.25">
      <c r="A997" s="1">
        <v>45292</v>
      </c>
      <c r="B997" t="s">
        <v>7</v>
      </c>
      <c r="C997" t="s">
        <v>1074</v>
      </c>
      <c r="D997" t="s">
        <v>1086</v>
      </c>
      <c r="E997">
        <v>199768562.24000001</v>
      </c>
      <c r="F997">
        <v>35224464.009999998</v>
      </c>
      <c r="G997">
        <v>252007401.25</v>
      </c>
    </row>
    <row r="998" spans="1:7" x14ac:dyDescent="0.25">
      <c r="A998" s="1">
        <v>45292</v>
      </c>
      <c r="B998" t="s">
        <v>7</v>
      </c>
      <c r="C998" t="s">
        <v>1087</v>
      </c>
      <c r="D998" t="s">
        <v>1088</v>
      </c>
      <c r="E998">
        <v>39555415.840000004</v>
      </c>
      <c r="F998">
        <v>6964019.0300000003</v>
      </c>
      <c r="G998">
        <v>42373808.909999996</v>
      </c>
    </row>
    <row r="999" spans="1:7" x14ac:dyDescent="0.25">
      <c r="A999" s="1">
        <v>45383</v>
      </c>
      <c r="B999" t="s">
        <v>7</v>
      </c>
      <c r="C999" t="s">
        <v>1087</v>
      </c>
      <c r="D999" t="s">
        <v>1089</v>
      </c>
      <c r="E999">
        <v>42241251.560000002</v>
      </c>
      <c r="F999">
        <v>42137446.93</v>
      </c>
      <c r="G999">
        <v>944893.01</v>
      </c>
    </row>
    <row r="1000" spans="1:7" x14ac:dyDescent="0.25">
      <c r="A1000" s="1">
        <v>45444</v>
      </c>
      <c r="B1000" t="s">
        <v>7</v>
      </c>
      <c r="C1000" t="s">
        <v>1087</v>
      </c>
      <c r="D1000" t="s">
        <v>1090</v>
      </c>
      <c r="E1000">
        <v>54939574.759999998</v>
      </c>
      <c r="F1000">
        <v>42909171.460000001</v>
      </c>
      <c r="G1000">
        <v>888840.67</v>
      </c>
    </row>
    <row r="1001" spans="1:7" x14ac:dyDescent="0.25">
      <c r="A1001" s="1">
        <v>45474</v>
      </c>
      <c r="B1001" t="s">
        <v>7</v>
      </c>
      <c r="C1001" t="s">
        <v>1087</v>
      </c>
      <c r="D1001" t="s">
        <v>1091</v>
      </c>
      <c r="E1001">
        <v>43475547.710000001</v>
      </c>
      <c r="F1001">
        <v>56628482.409999996</v>
      </c>
      <c r="G1001">
        <v>2044546.87</v>
      </c>
    </row>
    <row r="1002" spans="1:7" x14ac:dyDescent="0.25">
      <c r="A1002" s="1">
        <v>45323</v>
      </c>
      <c r="B1002" t="s">
        <v>7</v>
      </c>
      <c r="C1002" t="s">
        <v>1087</v>
      </c>
      <c r="D1002" t="s">
        <v>1092</v>
      </c>
      <c r="E1002">
        <v>41725976.049999997</v>
      </c>
      <c r="F1002">
        <v>35190315.229999997</v>
      </c>
      <c r="G1002">
        <v>8242319.6500000004</v>
      </c>
    </row>
    <row r="1003" spans="1:7" x14ac:dyDescent="0.25">
      <c r="A1003" s="1">
        <v>45597</v>
      </c>
      <c r="B1003" t="s">
        <v>7</v>
      </c>
      <c r="C1003" t="s">
        <v>1087</v>
      </c>
      <c r="D1003" t="s">
        <v>1093</v>
      </c>
      <c r="E1003">
        <v>63368422.130000003</v>
      </c>
      <c r="F1003">
        <v>41448116.82</v>
      </c>
      <c r="G1003">
        <v>267036.03999999998</v>
      </c>
    </row>
    <row r="1004" spans="1:7" x14ac:dyDescent="0.25">
      <c r="A1004" s="1">
        <v>45536</v>
      </c>
      <c r="B1004" t="s">
        <v>7</v>
      </c>
      <c r="C1004" t="s">
        <v>1087</v>
      </c>
      <c r="D1004" t="s">
        <v>1094</v>
      </c>
      <c r="E1004">
        <v>45012469.119999997</v>
      </c>
      <c r="F1004">
        <v>43508798.049999997</v>
      </c>
      <c r="G1004">
        <v>405684.23</v>
      </c>
    </row>
    <row r="1005" spans="1:7" x14ac:dyDescent="0.25">
      <c r="A1005" s="1">
        <v>45566</v>
      </c>
      <c r="B1005" t="s">
        <v>7</v>
      </c>
      <c r="C1005" t="s">
        <v>1087</v>
      </c>
      <c r="D1005" t="s">
        <v>1095</v>
      </c>
      <c r="E1005">
        <v>44654695.880000003</v>
      </c>
      <c r="F1005">
        <v>47170643.149999999</v>
      </c>
      <c r="G1005">
        <v>578350.88</v>
      </c>
    </row>
    <row r="1006" spans="1:7" x14ac:dyDescent="0.25">
      <c r="A1006" s="1">
        <v>45413</v>
      </c>
      <c r="B1006" t="s">
        <v>7</v>
      </c>
      <c r="C1006" t="s">
        <v>1087</v>
      </c>
      <c r="D1006" t="s">
        <v>1096</v>
      </c>
      <c r="E1006">
        <v>43466784.299999997</v>
      </c>
      <c r="F1006">
        <v>42778172.189999998</v>
      </c>
      <c r="G1006">
        <v>2492351.11</v>
      </c>
    </row>
    <row r="1007" spans="1:7" x14ac:dyDescent="0.25">
      <c r="A1007" s="1">
        <v>45627</v>
      </c>
      <c r="B1007" t="s">
        <v>7</v>
      </c>
      <c r="C1007" t="s">
        <v>1087</v>
      </c>
      <c r="D1007" t="s">
        <v>1097</v>
      </c>
      <c r="E1007">
        <v>49304662.789999999</v>
      </c>
      <c r="F1007">
        <v>63277158.740000002</v>
      </c>
      <c r="G1007">
        <v>2678726.4300000002</v>
      </c>
    </row>
    <row r="1008" spans="1:7" x14ac:dyDescent="0.25">
      <c r="A1008" s="1">
        <v>45505</v>
      </c>
      <c r="B1008" t="s">
        <v>7</v>
      </c>
      <c r="C1008" t="s">
        <v>1087</v>
      </c>
      <c r="D1008" t="s">
        <v>1098</v>
      </c>
      <c r="E1008">
        <v>45557481.950000003</v>
      </c>
      <c r="F1008">
        <v>45228395.420000002</v>
      </c>
      <c r="G1008">
        <v>518093.2</v>
      </c>
    </row>
    <row r="1009" spans="1:7" x14ac:dyDescent="0.25">
      <c r="A1009" s="1">
        <v>45352</v>
      </c>
      <c r="B1009" t="s">
        <v>7</v>
      </c>
      <c r="C1009" t="s">
        <v>1087</v>
      </c>
      <c r="D1009" t="s">
        <v>1099</v>
      </c>
      <c r="E1009">
        <v>42227338.960000001</v>
      </c>
      <c r="F1009">
        <v>43454739.43</v>
      </c>
      <c r="G1009">
        <v>3073658.69</v>
      </c>
    </row>
    <row r="1010" spans="1:7" x14ac:dyDescent="0.25">
      <c r="A1010" s="1">
        <v>45413</v>
      </c>
      <c r="B1010" t="s">
        <v>7</v>
      </c>
      <c r="C1010" t="s">
        <v>1100</v>
      </c>
      <c r="D1010" t="s">
        <v>1101</v>
      </c>
      <c r="E1010">
        <v>170693999.25</v>
      </c>
      <c r="F1010">
        <v>166312963.34</v>
      </c>
      <c r="G1010">
        <v>4121864.31</v>
      </c>
    </row>
    <row r="1011" spans="1:7" x14ac:dyDescent="0.25">
      <c r="A1011" s="1">
        <v>45292</v>
      </c>
      <c r="B1011" t="s">
        <v>7</v>
      </c>
      <c r="C1011" t="s">
        <v>1100</v>
      </c>
      <c r="D1011" t="s">
        <v>1102</v>
      </c>
      <c r="E1011">
        <v>149446624.09999999</v>
      </c>
      <c r="F1011">
        <v>26787829.780000001</v>
      </c>
      <c r="G1011">
        <v>176834722.55000001</v>
      </c>
    </row>
    <row r="1012" spans="1:7" x14ac:dyDescent="0.25">
      <c r="A1012" s="1">
        <v>45474</v>
      </c>
      <c r="B1012" t="s">
        <v>7</v>
      </c>
      <c r="C1012" t="s">
        <v>1100</v>
      </c>
      <c r="D1012" t="s">
        <v>1103</v>
      </c>
      <c r="E1012">
        <v>173145733.02000001</v>
      </c>
      <c r="F1012">
        <v>214230659.47999999</v>
      </c>
      <c r="G1012">
        <v>13229684.710000001</v>
      </c>
    </row>
    <row r="1013" spans="1:7" x14ac:dyDescent="0.25">
      <c r="A1013" s="1">
        <v>45627</v>
      </c>
      <c r="B1013" t="s">
        <v>7</v>
      </c>
      <c r="C1013" t="s">
        <v>1100</v>
      </c>
      <c r="D1013" t="s">
        <v>1104</v>
      </c>
      <c r="E1013">
        <v>248564148.11000001</v>
      </c>
      <c r="F1013">
        <v>227633367.97</v>
      </c>
      <c r="G1013">
        <v>2803780.97</v>
      </c>
    </row>
    <row r="1014" spans="1:7" x14ac:dyDescent="0.25">
      <c r="A1014" s="1">
        <v>45597</v>
      </c>
      <c r="B1014" t="s">
        <v>7</v>
      </c>
      <c r="C1014" t="s">
        <v>1100</v>
      </c>
      <c r="D1014" t="s">
        <v>1105</v>
      </c>
      <c r="E1014">
        <v>254885201.84</v>
      </c>
      <c r="F1014">
        <v>197566559.81999999</v>
      </c>
      <c r="G1014">
        <v>610868.28</v>
      </c>
    </row>
    <row r="1015" spans="1:7" x14ac:dyDescent="0.25">
      <c r="A1015" s="1">
        <v>45323</v>
      </c>
      <c r="B1015" t="s">
        <v>7</v>
      </c>
      <c r="C1015" t="s">
        <v>1100</v>
      </c>
      <c r="D1015" t="s">
        <v>1106</v>
      </c>
      <c r="E1015">
        <v>156711154.66999999</v>
      </c>
      <c r="F1015">
        <v>133862640.09999999</v>
      </c>
      <c r="G1015">
        <v>36084729.729999997</v>
      </c>
    </row>
    <row r="1016" spans="1:7" x14ac:dyDescent="0.25">
      <c r="A1016" s="1">
        <v>45383</v>
      </c>
      <c r="B1016" t="s">
        <v>7</v>
      </c>
      <c r="C1016" t="s">
        <v>1100</v>
      </c>
      <c r="D1016" t="s">
        <v>1107</v>
      </c>
      <c r="E1016">
        <v>163315137.19</v>
      </c>
      <c r="F1016">
        <v>158387086.87</v>
      </c>
      <c r="G1016">
        <v>6732879.4800000004</v>
      </c>
    </row>
    <row r="1017" spans="1:7" x14ac:dyDescent="0.25">
      <c r="A1017" s="1">
        <v>45352</v>
      </c>
      <c r="B1017" t="s">
        <v>7</v>
      </c>
      <c r="C1017" t="s">
        <v>1100</v>
      </c>
      <c r="D1017" t="s">
        <v>1108</v>
      </c>
      <c r="E1017">
        <v>161184589.69</v>
      </c>
      <c r="F1017">
        <v>157367830.03999999</v>
      </c>
      <c r="G1017">
        <v>35714230.600000001</v>
      </c>
    </row>
    <row r="1018" spans="1:7" x14ac:dyDescent="0.25">
      <c r="A1018" s="1">
        <v>45536</v>
      </c>
      <c r="B1018" t="s">
        <v>7</v>
      </c>
      <c r="C1018" t="s">
        <v>1100</v>
      </c>
      <c r="D1018" t="s">
        <v>1109</v>
      </c>
      <c r="E1018">
        <v>178739481.47999999</v>
      </c>
      <c r="F1018">
        <v>167478526.41999999</v>
      </c>
      <c r="G1018">
        <v>8088492.6600000001</v>
      </c>
    </row>
    <row r="1019" spans="1:7" x14ac:dyDescent="0.25">
      <c r="A1019" s="1">
        <v>45444</v>
      </c>
      <c r="B1019" t="s">
        <v>7</v>
      </c>
      <c r="C1019" t="s">
        <v>1100</v>
      </c>
      <c r="D1019" t="s">
        <v>1110</v>
      </c>
      <c r="E1019">
        <v>215113372.41999999</v>
      </c>
      <c r="F1019">
        <v>168849231.44</v>
      </c>
      <c r="G1019">
        <v>3734845.07</v>
      </c>
    </row>
    <row r="1020" spans="1:7" x14ac:dyDescent="0.25">
      <c r="A1020" s="1">
        <v>45566</v>
      </c>
      <c r="B1020" t="s">
        <v>7</v>
      </c>
      <c r="C1020" t="s">
        <v>1100</v>
      </c>
      <c r="D1020" t="s">
        <v>1111</v>
      </c>
      <c r="E1020">
        <v>167586390.49000001</v>
      </c>
      <c r="F1020">
        <v>179753930.94999999</v>
      </c>
      <c r="G1020">
        <v>1741668.27</v>
      </c>
    </row>
    <row r="1021" spans="1:7" x14ac:dyDescent="0.25">
      <c r="A1021" s="1">
        <v>45505</v>
      </c>
      <c r="B1021" t="s">
        <v>7</v>
      </c>
      <c r="C1021" t="s">
        <v>1100</v>
      </c>
      <c r="D1021" t="s">
        <v>1112</v>
      </c>
      <c r="E1021">
        <v>168537872.03</v>
      </c>
      <c r="F1021">
        <v>167946447.90000001</v>
      </c>
      <c r="G1021">
        <v>2945868.63</v>
      </c>
    </row>
    <row r="1022" spans="1:7" x14ac:dyDescent="0.25">
      <c r="A1022" s="1">
        <v>45292</v>
      </c>
      <c r="B1022" t="s">
        <v>7</v>
      </c>
      <c r="C1022" t="s">
        <v>1113</v>
      </c>
      <c r="D1022" t="s">
        <v>1114</v>
      </c>
      <c r="E1022">
        <v>6404427.9000000004</v>
      </c>
      <c r="F1022">
        <v>569523.5</v>
      </c>
      <c r="G1022">
        <v>10519218.039999999</v>
      </c>
    </row>
    <row r="1023" spans="1:7" x14ac:dyDescent="0.25">
      <c r="A1023" s="1">
        <v>45383</v>
      </c>
      <c r="B1023" t="s">
        <v>7</v>
      </c>
      <c r="C1023" t="s">
        <v>1113</v>
      </c>
      <c r="D1023" t="s">
        <v>1115</v>
      </c>
      <c r="E1023">
        <v>9421525.6999999993</v>
      </c>
      <c r="F1023">
        <v>9065322.2599999998</v>
      </c>
      <c r="G1023">
        <v>1016798.74</v>
      </c>
    </row>
    <row r="1024" spans="1:7" x14ac:dyDescent="0.25">
      <c r="A1024" s="1">
        <v>45536</v>
      </c>
      <c r="B1024" t="s">
        <v>7</v>
      </c>
      <c r="C1024" t="s">
        <v>1113</v>
      </c>
      <c r="D1024" t="s">
        <v>1116</v>
      </c>
      <c r="E1024">
        <v>9956173.8000000007</v>
      </c>
      <c r="F1024">
        <v>10102698.51</v>
      </c>
      <c r="G1024">
        <v>9250</v>
      </c>
    </row>
    <row r="1025" spans="1:7" x14ac:dyDescent="0.25">
      <c r="A1025" s="1">
        <v>45566</v>
      </c>
      <c r="B1025" t="s">
        <v>7</v>
      </c>
      <c r="C1025" t="s">
        <v>1113</v>
      </c>
      <c r="D1025" t="s">
        <v>1117</v>
      </c>
      <c r="E1025">
        <v>10167648.6</v>
      </c>
      <c r="F1025">
        <v>10300546.130000001</v>
      </c>
      <c r="G1025">
        <v>32936.92</v>
      </c>
    </row>
    <row r="1026" spans="1:7" x14ac:dyDescent="0.25">
      <c r="A1026" s="1">
        <v>45413</v>
      </c>
      <c r="B1026" t="s">
        <v>7</v>
      </c>
      <c r="C1026" t="s">
        <v>1113</v>
      </c>
      <c r="D1026" t="s">
        <v>1118</v>
      </c>
      <c r="E1026">
        <v>10752863.66</v>
      </c>
      <c r="F1026">
        <v>8743301.4600000009</v>
      </c>
      <c r="G1026">
        <v>371003.58</v>
      </c>
    </row>
    <row r="1027" spans="1:7" x14ac:dyDescent="0.25">
      <c r="A1027" s="1">
        <v>45444</v>
      </c>
      <c r="B1027" t="s">
        <v>7</v>
      </c>
      <c r="C1027" t="s">
        <v>1113</v>
      </c>
      <c r="D1027" t="s">
        <v>1119</v>
      </c>
      <c r="E1027">
        <v>11087002.619999999</v>
      </c>
      <c r="F1027">
        <v>10578421.57</v>
      </c>
      <c r="G1027">
        <v>163655.72</v>
      </c>
    </row>
    <row r="1028" spans="1:7" x14ac:dyDescent="0.25">
      <c r="A1028" s="1">
        <v>45627</v>
      </c>
      <c r="B1028" t="s">
        <v>7</v>
      </c>
      <c r="C1028" t="s">
        <v>1113</v>
      </c>
      <c r="D1028" t="s">
        <v>1120</v>
      </c>
      <c r="E1028">
        <v>13917081.550000001</v>
      </c>
      <c r="F1028">
        <v>12387103.529999999</v>
      </c>
      <c r="G1028">
        <v>0</v>
      </c>
    </row>
    <row r="1029" spans="1:7" x14ac:dyDescent="0.25">
      <c r="A1029" s="1">
        <v>45474</v>
      </c>
      <c r="B1029" t="s">
        <v>7</v>
      </c>
      <c r="C1029" t="s">
        <v>1113</v>
      </c>
      <c r="D1029" t="s">
        <v>1121</v>
      </c>
      <c r="E1029">
        <v>9320559.3699999992</v>
      </c>
      <c r="F1029">
        <v>11402464.74</v>
      </c>
      <c r="G1029">
        <v>60450.86</v>
      </c>
    </row>
    <row r="1030" spans="1:7" x14ac:dyDescent="0.25">
      <c r="A1030" s="1">
        <v>45597</v>
      </c>
      <c r="B1030" t="s">
        <v>7</v>
      </c>
      <c r="C1030" t="s">
        <v>1113</v>
      </c>
      <c r="D1030" t="s">
        <v>1122</v>
      </c>
      <c r="E1030">
        <v>14301868.699999999</v>
      </c>
      <c r="F1030">
        <v>11740009.33</v>
      </c>
      <c r="G1030">
        <v>2017.86</v>
      </c>
    </row>
    <row r="1031" spans="1:7" x14ac:dyDescent="0.25">
      <c r="A1031" s="1">
        <v>45323</v>
      </c>
      <c r="B1031" t="s">
        <v>7</v>
      </c>
      <c r="C1031" t="s">
        <v>1113</v>
      </c>
      <c r="D1031" t="s">
        <v>1123</v>
      </c>
      <c r="E1031">
        <v>7593880.7400000002</v>
      </c>
      <c r="F1031">
        <v>6659116.1500000004</v>
      </c>
      <c r="G1031">
        <v>3134471.27</v>
      </c>
    </row>
    <row r="1032" spans="1:7" x14ac:dyDescent="0.25">
      <c r="A1032" s="1">
        <v>45352</v>
      </c>
      <c r="B1032" t="s">
        <v>7</v>
      </c>
      <c r="C1032" t="s">
        <v>1113</v>
      </c>
      <c r="D1032" t="s">
        <v>1124</v>
      </c>
      <c r="E1032">
        <v>7727769.6100000003</v>
      </c>
      <c r="F1032">
        <v>7632509.6799999997</v>
      </c>
      <c r="G1032">
        <v>1090905.8700000001</v>
      </c>
    </row>
    <row r="1033" spans="1:7" x14ac:dyDescent="0.25">
      <c r="A1033" s="1">
        <v>45505</v>
      </c>
      <c r="B1033" t="s">
        <v>7</v>
      </c>
      <c r="C1033" t="s">
        <v>1113</v>
      </c>
      <c r="D1033" t="s">
        <v>1125</v>
      </c>
      <c r="E1033">
        <v>9743810.1300000008</v>
      </c>
      <c r="F1033">
        <v>9226426.7200000007</v>
      </c>
      <c r="G1033">
        <v>26973.06</v>
      </c>
    </row>
    <row r="1034" spans="1:7" x14ac:dyDescent="0.25">
      <c r="A1034" s="1">
        <v>45383</v>
      </c>
      <c r="B1034" t="s">
        <v>7</v>
      </c>
      <c r="C1034" t="s">
        <v>1126</v>
      </c>
      <c r="D1034" t="s">
        <v>1127</v>
      </c>
      <c r="E1034">
        <v>22529589.940000001</v>
      </c>
      <c r="F1034">
        <v>22472590.329999998</v>
      </c>
      <c r="G1034">
        <v>3729714.04</v>
      </c>
    </row>
    <row r="1035" spans="1:7" x14ac:dyDescent="0.25">
      <c r="A1035" s="1">
        <v>45292</v>
      </c>
      <c r="B1035" t="s">
        <v>7</v>
      </c>
      <c r="C1035" t="s">
        <v>1126</v>
      </c>
      <c r="D1035" t="s">
        <v>1128</v>
      </c>
      <c r="E1035">
        <v>21829062.539999999</v>
      </c>
      <c r="F1035">
        <v>5954640.3499999996</v>
      </c>
      <c r="G1035">
        <v>20993311.73</v>
      </c>
    </row>
    <row r="1036" spans="1:7" x14ac:dyDescent="0.25">
      <c r="A1036" s="1">
        <v>45566</v>
      </c>
      <c r="B1036" t="s">
        <v>7</v>
      </c>
      <c r="C1036" t="s">
        <v>1126</v>
      </c>
      <c r="D1036" t="s">
        <v>1129</v>
      </c>
      <c r="E1036">
        <v>24674349.09</v>
      </c>
      <c r="F1036">
        <v>24591407.309999999</v>
      </c>
      <c r="G1036">
        <v>534827.98</v>
      </c>
    </row>
    <row r="1037" spans="1:7" x14ac:dyDescent="0.25">
      <c r="A1037" s="1">
        <v>45323</v>
      </c>
      <c r="B1037" t="s">
        <v>7</v>
      </c>
      <c r="C1037" t="s">
        <v>1126</v>
      </c>
      <c r="D1037" t="s">
        <v>1130</v>
      </c>
      <c r="E1037">
        <v>19932967.719999999</v>
      </c>
      <c r="F1037">
        <v>17777732.870000001</v>
      </c>
      <c r="G1037">
        <v>2336949.65</v>
      </c>
    </row>
    <row r="1038" spans="1:7" x14ac:dyDescent="0.25">
      <c r="A1038" s="1">
        <v>45352</v>
      </c>
      <c r="B1038" t="s">
        <v>7</v>
      </c>
      <c r="C1038" t="s">
        <v>1126</v>
      </c>
      <c r="D1038" t="s">
        <v>1131</v>
      </c>
      <c r="E1038">
        <v>20785904.579999998</v>
      </c>
      <c r="F1038">
        <v>20593012.600000001</v>
      </c>
      <c r="G1038">
        <v>8129421.7199999997</v>
      </c>
    </row>
    <row r="1039" spans="1:7" x14ac:dyDescent="0.25">
      <c r="A1039" s="1">
        <v>45413</v>
      </c>
      <c r="B1039" t="s">
        <v>7</v>
      </c>
      <c r="C1039" t="s">
        <v>1126</v>
      </c>
      <c r="D1039" t="s">
        <v>1132</v>
      </c>
      <c r="E1039">
        <v>24937117.68</v>
      </c>
      <c r="F1039">
        <v>21829575.77</v>
      </c>
      <c r="G1039">
        <v>1808570.13</v>
      </c>
    </row>
    <row r="1040" spans="1:7" x14ac:dyDescent="0.25">
      <c r="A1040" s="1">
        <v>45505</v>
      </c>
      <c r="B1040" t="s">
        <v>7</v>
      </c>
      <c r="C1040" t="s">
        <v>1126</v>
      </c>
      <c r="D1040" t="s">
        <v>1133</v>
      </c>
      <c r="E1040">
        <v>24188562.530000001</v>
      </c>
      <c r="F1040">
        <v>23333774.09</v>
      </c>
      <c r="G1040">
        <v>516621.46</v>
      </c>
    </row>
    <row r="1041" spans="1:7" x14ac:dyDescent="0.25">
      <c r="A1041" s="1">
        <v>45597</v>
      </c>
      <c r="B1041" t="s">
        <v>7</v>
      </c>
      <c r="C1041" t="s">
        <v>1126</v>
      </c>
      <c r="D1041" t="s">
        <v>1134</v>
      </c>
      <c r="E1041">
        <v>43883321.670000002</v>
      </c>
      <c r="F1041">
        <v>36787279.920000002</v>
      </c>
      <c r="G1041">
        <v>493885.28</v>
      </c>
    </row>
    <row r="1042" spans="1:7" x14ac:dyDescent="0.25">
      <c r="A1042" s="1">
        <v>45627</v>
      </c>
      <c r="B1042" t="s">
        <v>7</v>
      </c>
      <c r="C1042" t="s">
        <v>1126</v>
      </c>
      <c r="D1042" t="s">
        <v>1135</v>
      </c>
      <c r="E1042">
        <v>29491293.59</v>
      </c>
      <c r="F1042">
        <v>31171852.34</v>
      </c>
      <c r="G1042">
        <v>1002071.17</v>
      </c>
    </row>
    <row r="1043" spans="1:7" x14ac:dyDescent="0.25">
      <c r="A1043" s="1">
        <v>45536</v>
      </c>
      <c r="B1043" t="s">
        <v>7</v>
      </c>
      <c r="C1043" t="s">
        <v>1126</v>
      </c>
      <c r="D1043" t="s">
        <v>1136</v>
      </c>
      <c r="E1043">
        <v>24089690.59</v>
      </c>
      <c r="F1043">
        <v>24359464.91</v>
      </c>
      <c r="G1043">
        <v>900014.2</v>
      </c>
    </row>
    <row r="1044" spans="1:7" x14ac:dyDescent="0.25">
      <c r="A1044" s="1">
        <v>45444</v>
      </c>
      <c r="B1044" t="s">
        <v>7</v>
      </c>
      <c r="C1044" t="s">
        <v>1126</v>
      </c>
      <c r="D1044" t="s">
        <v>1137</v>
      </c>
      <c r="E1044">
        <v>30070342.710000001</v>
      </c>
      <c r="F1044">
        <v>25271966.629999999</v>
      </c>
      <c r="G1044">
        <v>2661424.5499999998</v>
      </c>
    </row>
    <row r="1045" spans="1:7" x14ac:dyDescent="0.25">
      <c r="A1045" s="1">
        <v>45474</v>
      </c>
      <c r="B1045" t="s">
        <v>7</v>
      </c>
      <c r="C1045" t="s">
        <v>1126</v>
      </c>
      <c r="D1045" t="s">
        <v>1138</v>
      </c>
      <c r="E1045">
        <v>23081306.710000001</v>
      </c>
      <c r="F1045">
        <v>30282151.48</v>
      </c>
      <c r="G1045">
        <v>1799892.56</v>
      </c>
    </row>
    <row r="1046" spans="1:7" x14ac:dyDescent="0.25">
      <c r="A1046" s="1">
        <v>45352</v>
      </c>
      <c r="B1046" t="s">
        <v>7</v>
      </c>
      <c r="C1046" t="s">
        <v>1139</v>
      </c>
      <c r="D1046" t="s">
        <v>1140</v>
      </c>
      <c r="E1046">
        <v>156901495.44</v>
      </c>
      <c r="F1046">
        <v>151430672.59</v>
      </c>
      <c r="G1046">
        <v>12849682.640000001</v>
      </c>
    </row>
    <row r="1047" spans="1:7" x14ac:dyDescent="0.25">
      <c r="A1047" s="1">
        <v>45566</v>
      </c>
      <c r="B1047" t="s">
        <v>7</v>
      </c>
      <c r="C1047" t="s">
        <v>1139</v>
      </c>
      <c r="D1047" t="s">
        <v>1141</v>
      </c>
      <c r="E1047">
        <v>179863904.34</v>
      </c>
      <c r="F1047">
        <v>174105340.41999999</v>
      </c>
      <c r="G1047">
        <v>5574342.6100000003</v>
      </c>
    </row>
    <row r="1048" spans="1:7" x14ac:dyDescent="0.25">
      <c r="A1048" s="1">
        <v>45627</v>
      </c>
      <c r="B1048" t="s">
        <v>7</v>
      </c>
      <c r="C1048" t="s">
        <v>1139</v>
      </c>
      <c r="D1048" t="s">
        <v>1142</v>
      </c>
      <c r="E1048">
        <v>217278620.72</v>
      </c>
      <c r="F1048">
        <v>222000469.37</v>
      </c>
      <c r="G1048">
        <v>251179.09</v>
      </c>
    </row>
    <row r="1049" spans="1:7" x14ac:dyDescent="0.25">
      <c r="A1049" s="1">
        <v>45444</v>
      </c>
      <c r="B1049" t="s">
        <v>7</v>
      </c>
      <c r="C1049" t="s">
        <v>1139</v>
      </c>
      <c r="D1049" t="s">
        <v>1143</v>
      </c>
      <c r="E1049">
        <v>227528855.56999999</v>
      </c>
      <c r="F1049">
        <v>183736234.81</v>
      </c>
      <c r="G1049">
        <v>7689085.5800000001</v>
      </c>
    </row>
    <row r="1050" spans="1:7" x14ac:dyDescent="0.25">
      <c r="A1050" s="1">
        <v>45536</v>
      </c>
      <c r="B1050" t="s">
        <v>7</v>
      </c>
      <c r="C1050" t="s">
        <v>1139</v>
      </c>
      <c r="D1050" t="s">
        <v>1144</v>
      </c>
      <c r="E1050">
        <v>174569489.46000001</v>
      </c>
      <c r="F1050">
        <v>174677284.97</v>
      </c>
      <c r="G1050">
        <v>1490734.59</v>
      </c>
    </row>
    <row r="1051" spans="1:7" x14ac:dyDescent="0.25">
      <c r="A1051" s="1">
        <v>45597</v>
      </c>
      <c r="B1051" t="s">
        <v>7</v>
      </c>
      <c r="C1051" t="s">
        <v>1139</v>
      </c>
      <c r="D1051" t="s">
        <v>1145</v>
      </c>
      <c r="E1051">
        <v>255266185.91999999</v>
      </c>
      <c r="F1051">
        <v>205466675.05000001</v>
      </c>
      <c r="G1051">
        <v>578944.1</v>
      </c>
    </row>
    <row r="1052" spans="1:7" x14ac:dyDescent="0.25">
      <c r="A1052" s="1">
        <v>45474</v>
      </c>
      <c r="B1052" t="s">
        <v>7</v>
      </c>
      <c r="C1052" t="s">
        <v>1139</v>
      </c>
      <c r="D1052" t="s">
        <v>1146</v>
      </c>
      <c r="E1052">
        <v>173940745.88</v>
      </c>
      <c r="F1052">
        <v>228909616.5</v>
      </c>
      <c r="G1052">
        <v>3149931.33</v>
      </c>
    </row>
    <row r="1053" spans="1:7" x14ac:dyDescent="0.25">
      <c r="A1053" s="1">
        <v>45413</v>
      </c>
      <c r="B1053" t="s">
        <v>7</v>
      </c>
      <c r="C1053" t="s">
        <v>1139</v>
      </c>
      <c r="D1053" t="s">
        <v>1147</v>
      </c>
      <c r="E1053">
        <v>192672413.38</v>
      </c>
      <c r="F1053">
        <v>176171005.40000001</v>
      </c>
      <c r="G1053">
        <v>13813587.76</v>
      </c>
    </row>
    <row r="1054" spans="1:7" x14ac:dyDescent="0.25">
      <c r="A1054" s="1">
        <v>45383</v>
      </c>
      <c r="B1054" t="s">
        <v>7</v>
      </c>
      <c r="C1054" t="s">
        <v>1139</v>
      </c>
      <c r="D1054" t="s">
        <v>1148</v>
      </c>
      <c r="E1054">
        <v>196117683.16999999</v>
      </c>
      <c r="F1054">
        <v>167799950.27000001</v>
      </c>
      <c r="G1054">
        <v>14231735.09</v>
      </c>
    </row>
    <row r="1055" spans="1:7" x14ac:dyDescent="0.25">
      <c r="A1055" s="1">
        <v>45505</v>
      </c>
      <c r="B1055" t="s">
        <v>7</v>
      </c>
      <c r="C1055" t="s">
        <v>1139</v>
      </c>
      <c r="D1055" t="s">
        <v>1149</v>
      </c>
      <c r="E1055">
        <v>171425537.25</v>
      </c>
      <c r="F1055">
        <v>184416449.22999999</v>
      </c>
      <c r="G1055">
        <v>7132739.3300000001</v>
      </c>
    </row>
    <row r="1056" spans="1:7" x14ac:dyDescent="0.25">
      <c r="A1056" s="1">
        <v>45323</v>
      </c>
      <c r="B1056" t="s">
        <v>7</v>
      </c>
      <c r="C1056" t="s">
        <v>1139</v>
      </c>
      <c r="D1056" t="s">
        <v>1150</v>
      </c>
      <c r="E1056">
        <v>152836374.53999999</v>
      </c>
      <c r="F1056">
        <v>140948006.09999999</v>
      </c>
      <c r="G1056">
        <v>36082342.299999997</v>
      </c>
    </row>
    <row r="1057" spans="1:7" x14ac:dyDescent="0.25">
      <c r="A1057" s="1">
        <v>45292</v>
      </c>
      <c r="B1057" t="s">
        <v>7</v>
      </c>
      <c r="C1057" t="s">
        <v>1139</v>
      </c>
      <c r="D1057" t="s">
        <v>1151</v>
      </c>
      <c r="E1057">
        <v>155490473.18000001</v>
      </c>
      <c r="F1057">
        <v>26992040.239999998</v>
      </c>
      <c r="G1057">
        <v>191082183.22</v>
      </c>
    </row>
    <row r="1058" spans="1:7" x14ac:dyDescent="0.25">
      <c r="A1058" s="1">
        <v>45413</v>
      </c>
      <c r="B1058" t="s">
        <v>7</v>
      </c>
      <c r="C1058" t="s">
        <v>1152</v>
      </c>
      <c r="D1058" t="s">
        <v>1153</v>
      </c>
      <c r="E1058">
        <v>134649883.80000001</v>
      </c>
      <c r="F1058">
        <v>125389474.67</v>
      </c>
      <c r="G1058">
        <v>942058.23</v>
      </c>
    </row>
    <row r="1059" spans="1:7" x14ac:dyDescent="0.25">
      <c r="A1059" s="1">
        <v>45627</v>
      </c>
      <c r="B1059" t="s">
        <v>7</v>
      </c>
      <c r="C1059" t="s">
        <v>1152</v>
      </c>
      <c r="D1059" t="s">
        <v>1154</v>
      </c>
      <c r="E1059">
        <v>189737688.08000001</v>
      </c>
      <c r="F1059">
        <v>178609482.22999999</v>
      </c>
      <c r="G1059">
        <v>1105898.48</v>
      </c>
    </row>
    <row r="1060" spans="1:7" x14ac:dyDescent="0.25">
      <c r="A1060" s="1">
        <v>45474</v>
      </c>
      <c r="B1060" t="s">
        <v>7</v>
      </c>
      <c r="C1060" t="s">
        <v>1152</v>
      </c>
      <c r="D1060" t="s">
        <v>1155</v>
      </c>
      <c r="E1060">
        <v>133647692.79000001</v>
      </c>
      <c r="F1060">
        <v>166259387.61000001</v>
      </c>
      <c r="G1060">
        <v>1487394.94</v>
      </c>
    </row>
    <row r="1061" spans="1:7" x14ac:dyDescent="0.25">
      <c r="A1061" s="1">
        <v>45383</v>
      </c>
      <c r="B1061" t="s">
        <v>7</v>
      </c>
      <c r="C1061" t="s">
        <v>1152</v>
      </c>
      <c r="D1061" t="s">
        <v>1156</v>
      </c>
      <c r="E1061">
        <v>126507050.27</v>
      </c>
      <c r="F1061">
        <v>129644334.58</v>
      </c>
      <c r="G1061">
        <v>4865887.82</v>
      </c>
    </row>
    <row r="1062" spans="1:7" x14ac:dyDescent="0.25">
      <c r="A1062" s="1">
        <v>45292</v>
      </c>
      <c r="B1062" t="s">
        <v>7</v>
      </c>
      <c r="C1062" t="s">
        <v>1152</v>
      </c>
      <c r="D1062" t="s">
        <v>1157</v>
      </c>
      <c r="E1062">
        <v>138275368.97999999</v>
      </c>
      <c r="F1062">
        <v>33896335.140000001</v>
      </c>
      <c r="G1062">
        <v>127459077.47</v>
      </c>
    </row>
    <row r="1063" spans="1:7" x14ac:dyDescent="0.25">
      <c r="A1063" s="1">
        <v>45444</v>
      </c>
      <c r="B1063" t="s">
        <v>7</v>
      </c>
      <c r="C1063" t="s">
        <v>1152</v>
      </c>
      <c r="D1063" t="s">
        <v>1158</v>
      </c>
      <c r="E1063">
        <v>160853934.69999999</v>
      </c>
      <c r="F1063">
        <v>131209397.47</v>
      </c>
      <c r="G1063">
        <v>883353.61</v>
      </c>
    </row>
    <row r="1064" spans="1:7" x14ac:dyDescent="0.25">
      <c r="A1064" s="1">
        <v>45323</v>
      </c>
      <c r="B1064" t="s">
        <v>7</v>
      </c>
      <c r="C1064" t="s">
        <v>1152</v>
      </c>
      <c r="D1064" t="s">
        <v>1159</v>
      </c>
      <c r="E1064">
        <v>124985062.58</v>
      </c>
      <c r="F1064">
        <v>130029483.58</v>
      </c>
      <c r="G1064">
        <v>9289101.3800000008</v>
      </c>
    </row>
    <row r="1065" spans="1:7" x14ac:dyDescent="0.25">
      <c r="A1065" s="1">
        <v>45566</v>
      </c>
      <c r="B1065" t="s">
        <v>7</v>
      </c>
      <c r="C1065" t="s">
        <v>1152</v>
      </c>
      <c r="D1065" t="s">
        <v>1160</v>
      </c>
      <c r="E1065">
        <v>134989546.53999999</v>
      </c>
      <c r="F1065">
        <v>135885074.47999999</v>
      </c>
      <c r="G1065">
        <v>926799.48</v>
      </c>
    </row>
    <row r="1066" spans="1:7" x14ac:dyDescent="0.25">
      <c r="A1066" s="1">
        <v>45505</v>
      </c>
      <c r="B1066" t="s">
        <v>7</v>
      </c>
      <c r="C1066" t="s">
        <v>1152</v>
      </c>
      <c r="D1066" t="s">
        <v>1161</v>
      </c>
      <c r="E1066">
        <v>138892955.63999999</v>
      </c>
      <c r="F1066">
        <v>132153913.22</v>
      </c>
      <c r="G1066">
        <v>548416.43999999994</v>
      </c>
    </row>
    <row r="1067" spans="1:7" x14ac:dyDescent="0.25">
      <c r="A1067" s="1">
        <v>45597</v>
      </c>
      <c r="B1067" t="s">
        <v>7</v>
      </c>
      <c r="C1067" t="s">
        <v>1152</v>
      </c>
      <c r="D1067" t="s">
        <v>1162</v>
      </c>
      <c r="E1067">
        <v>191983229.97999999</v>
      </c>
      <c r="F1067">
        <v>147318443.25</v>
      </c>
      <c r="G1067">
        <v>766219.21</v>
      </c>
    </row>
    <row r="1068" spans="1:7" x14ac:dyDescent="0.25">
      <c r="A1068" s="1">
        <v>45352</v>
      </c>
      <c r="B1068" t="s">
        <v>7</v>
      </c>
      <c r="C1068" t="s">
        <v>1152</v>
      </c>
      <c r="D1068" t="s">
        <v>1163</v>
      </c>
      <c r="E1068">
        <v>127175412.86</v>
      </c>
      <c r="F1068">
        <v>126130224</v>
      </c>
      <c r="G1068">
        <v>3496311.22</v>
      </c>
    </row>
    <row r="1069" spans="1:7" x14ac:dyDescent="0.25">
      <c r="A1069" s="1">
        <v>45536</v>
      </c>
      <c r="B1069" t="s">
        <v>7</v>
      </c>
      <c r="C1069" t="s">
        <v>1152</v>
      </c>
      <c r="D1069" t="s">
        <v>1164</v>
      </c>
      <c r="E1069">
        <v>133488288.05</v>
      </c>
      <c r="F1069">
        <v>142285964.03999999</v>
      </c>
      <c r="G1069">
        <v>1031020</v>
      </c>
    </row>
    <row r="1070" spans="1:7" x14ac:dyDescent="0.25">
      <c r="A1070" s="1">
        <v>45536</v>
      </c>
      <c r="B1070" t="s">
        <v>7</v>
      </c>
      <c r="C1070" t="s">
        <v>1165</v>
      </c>
      <c r="D1070" t="s">
        <v>1166</v>
      </c>
      <c r="E1070">
        <v>120445258.34</v>
      </c>
      <c r="F1070">
        <v>119857166.72</v>
      </c>
      <c r="G1070">
        <v>6729093.0700000003</v>
      </c>
    </row>
    <row r="1071" spans="1:7" x14ac:dyDescent="0.25">
      <c r="A1071" s="1">
        <v>45413</v>
      </c>
      <c r="B1071" t="s">
        <v>7</v>
      </c>
      <c r="C1071" t="s">
        <v>1165</v>
      </c>
      <c r="D1071" t="s">
        <v>1167</v>
      </c>
      <c r="E1071">
        <v>130570217.12</v>
      </c>
      <c r="F1071">
        <v>125047037.70999999</v>
      </c>
      <c r="G1071">
        <v>5524747.5499999998</v>
      </c>
    </row>
    <row r="1072" spans="1:7" x14ac:dyDescent="0.25">
      <c r="A1072" s="1">
        <v>45627</v>
      </c>
      <c r="B1072" t="s">
        <v>7</v>
      </c>
      <c r="C1072" t="s">
        <v>1165</v>
      </c>
      <c r="D1072" t="s">
        <v>1168</v>
      </c>
      <c r="E1072">
        <v>146523329.94999999</v>
      </c>
      <c r="F1072">
        <v>158945745.46000001</v>
      </c>
      <c r="G1072">
        <v>9153359.6899999995</v>
      </c>
    </row>
    <row r="1073" spans="1:7" x14ac:dyDescent="0.25">
      <c r="A1073" s="1">
        <v>45505</v>
      </c>
      <c r="B1073" t="s">
        <v>7</v>
      </c>
      <c r="C1073" t="s">
        <v>1165</v>
      </c>
      <c r="D1073" t="s">
        <v>1169</v>
      </c>
      <c r="E1073">
        <v>129070651.42</v>
      </c>
      <c r="F1073">
        <v>127273864.29000001</v>
      </c>
      <c r="G1073">
        <v>3554905.46</v>
      </c>
    </row>
    <row r="1074" spans="1:7" x14ac:dyDescent="0.25">
      <c r="A1074" s="1">
        <v>45566</v>
      </c>
      <c r="B1074" t="s">
        <v>7</v>
      </c>
      <c r="C1074" t="s">
        <v>1165</v>
      </c>
      <c r="D1074" t="s">
        <v>1170</v>
      </c>
      <c r="E1074">
        <v>137339879.93000001</v>
      </c>
      <c r="F1074">
        <v>136040322.71000001</v>
      </c>
      <c r="G1074">
        <v>2168018.09</v>
      </c>
    </row>
    <row r="1075" spans="1:7" x14ac:dyDescent="0.25">
      <c r="A1075" s="1">
        <v>45292</v>
      </c>
      <c r="B1075" t="s">
        <v>7</v>
      </c>
      <c r="C1075" t="s">
        <v>1165</v>
      </c>
      <c r="D1075" t="s">
        <v>1171</v>
      </c>
      <c r="E1075">
        <v>111494996.88</v>
      </c>
      <c r="F1075">
        <v>12669223.890000001</v>
      </c>
      <c r="G1075">
        <v>143861997.66999999</v>
      </c>
    </row>
    <row r="1076" spans="1:7" x14ac:dyDescent="0.25">
      <c r="A1076" s="1">
        <v>45444</v>
      </c>
      <c r="B1076" t="s">
        <v>7</v>
      </c>
      <c r="C1076" t="s">
        <v>1165</v>
      </c>
      <c r="D1076" t="s">
        <v>1172</v>
      </c>
      <c r="E1076">
        <v>168479941.88</v>
      </c>
      <c r="F1076">
        <v>129157690.18000001</v>
      </c>
      <c r="G1076">
        <v>3472841.21</v>
      </c>
    </row>
    <row r="1077" spans="1:7" x14ac:dyDescent="0.25">
      <c r="A1077" s="1">
        <v>45383</v>
      </c>
      <c r="B1077" t="s">
        <v>7</v>
      </c>
      <c r="C1077" t="s">
        <v>1165</v>
      </c>
      <c r="D1077" t="s">
        <v>1173</v>
      </c>
      <c r="E1077">
        <v>126595020.03</v>
      </c>
      <c r="F1077">
        <v>135133439.68000001</v>
      </c>
      <c r="G1077">
        <v>9876775.8000000007</v>
      </c>
    </row>
    <row r="1078" spans="1:7" x14ac:dyDescent="0.25">
      <c r="A1078" s="1">
        <v>45597</v>
      </c>
      <c r="B1078" t="s">
        <v>7</v>
      </c>
      <c r="C1078" t="s">
        <v>1165</v>
      </c>
      <c r="D1078" t="s">
        <v>1174</v>
      </c>
      <c r="E1078">
        <v>188610397.38999999</v>
      </c>
      <c r="F1078">
        <v>135247644.06</v>
      </c>
      <c r="G1078">
        <v>1125661.21</v>
      </c>
    </row>
    <row r="1079" spans="1:7" x14ac:dyDescent="0.25">
      <c r="A1079" s="1">
        <v>45474</v>
      </c>
      <c r="B1079" t="s">
        <v>7</v>
      </c>
      <c r="C1079" t="s">
        <v>1165</v>
      </c>
      <c r="D1079" t="s">
        <v>1175</v>
      </c>
      <c r="E1079">
        <v>125308556.97</v>
      </c>
      <c r="F1079">
        <v>168096558.97999999</v>
      </c>
      <c r="G1079">
        <v>3640328.4</v>
      </c>
    </row>
    <row r="1080" spans="1:7" x14ac:dyDescent="0.25">
      <c r="A1080" s="1">
        <v>45352</v>
      </c>
      <c r="B1080" t="s">
        <v>7</v>
      </c>
      <c r="C1080" t="s">
        <v>1165</v>
      </c>
      <c r="D1080" t="s">
        <v>1176</v>
      </c>
      <c r="E1080">
        <v>129614408.92</v>
      </c>
      <c r="F1080">
        <v>120107501.72</v>
      </c>
      <c r="G1080">
        <v>7572839.2000000002</v>
      </c>
    </row>
    <row r="1081" spans="1:7" x14ac:dyDescent="0.25">
      <c r="A1081" s="1">
        <v>45323</v>
      </c>
      <c r="B1081" t="s">
        <v>7</v>
      </c>
      <c r="C1081" t="s">
        <v>1165</v>
      </c>
      <c r="D1081" t="s">
        <v>1177</v>
      </c>
      <c r="E1081">
        <v>118020814.51000001</v>
      </c>
      <c r="F1081">
        <v>119119116.28</v>
      </c>
      <c r="G1081">
        <v>13781028.66</v>
      </c>
    </row>
    <row r="1082" spans="1:7" x14ac:dyDescent="0.25">
      <c r="A1082" s="1">
        <v>45536</v>
      </c>
      <c r="B1082" t="s">
        <v>7</v>
      </c>
      <c r="C1082" t="s">
        <v>1178</v>
      </c>
      <c r="D1082" t="s">
        <v>1179</v>
      </c>
      <c r="E1082">
        <v>86379135.840000004</v>
      </c>
      <c r="F1082">
        <v>78510222.75</v>
      </c>
      <c r="G1082">
        <v>1602400.96</v>
      </c>
    </row>
    <row r="1083" spans="1:7" x14ac:dyDescent="0.25">
      <c r="A1083" s="1">
        <v>45566</v>
      </c>
      <c r="B1083" t="s">
        <v>7</v>
      </c>
      <c r="C1083" t="s">
        <v>1178</v>
      </c>
      <c r="D1083" t="s">
        <v>1180</v>
      </c>
      <c r="E1083">
        <v>88493458.780000001</v>
      </c>
      <c r="F1083">
        <v>90722184.790000007</v>
      </c>
      <c r="G1083">
        <v>1627339.43</v>
      </c>
    </row>
    <row r="1084" spans="1:7" x14ac:dyDescent="0.25">
      <c r="A1084" s="1">
        <v>45383</v>
      </c>
      <c r="B1084" t="s">
        <v>7</v>
      </c>
      <c r="C1084" t="s">
        <v>1178</v>
      </c>
      <c r="D1084" t="s">
        <v>1181</v>
      </c>
      <c r="E1084">
        <v>82274763.819999993</v>
      </c>
      <c r="F1084">
        <v>81806149.439999998</v>
      </c>
      <c r="G1084">
        <v>4654449.51</v>
      </c>
    </row>
    <row r="1085" spans="1:7" x14ac:dyDescent="0.25">
      <c r="A1085" s="1">
        <v>45352</v>
      </c>
      <c r="B1085" t="s">
        <v>7</v>
      </c>
      <c r="C1085" t="s">
        <v>1178</v>
      </c>
      <c r="D1085" t="s">
        <v>1182</v>
      </c>
      <c r="E1085">
        <v>80916030.390000001</v>
      </c>
      <c r="F1085">
        <v>77411984.379999995</v>
      </c>
      <c r="G1085">
        <v>8137352.8200000003</v>
      </c>
    </row>
    <row r="1086" spans="1:7" x14ac:dyDescent="0.25">
      <c r="A1086" s="1">
        <v>45474</v>
      </c>
      <c r="B1086" t="s">
        <v>7</v>
      </c>
      <c r="C1086" t="s">
        <v>1178</v>
      </c>
      <c r="D1086" t="s">
        <v>1183</v>
      </c>
      <c r="E1086">
        <v>84252094.390000001</v>
      </c>
      <c r="F1086">
        <v>110706627.53</v>
      </c>
      <c r="G1086">
        <v>8756711.4900000002</v>
      </c>
    </row>
    <row r="1087" spans="1:7" x14ac:dyDescent="0.25">
      <c r="A1087" s="1">
        <v>45597</v>
      </c>
      <c r="B1087" t="s">
        <v>7</v>
      </c>
      <c r="C1087" t="s">
        <v>1178</v>
      </c>
      <c r="D1087" t="s">
        <v>1184</v>
      </c>
      <c r="E1087">
        <v>129257713.47</v>
      </c>
      <c r="F1087">
        <v>97620911.560000002</v>
      </c>
      <c r="G1087">
        <v>1181850.67</v>
      </c>
    </row>
    <row r="1088" spans="1:7" x14ac:dyDescent="0.25">
      <c r="A1088" s="1">
        <v>45444</v>
      </c>
      <c r="B1088" t="s">
        <v>7</v>
      </c>
      <c r="C1088" t="s">
        <v>1178</v>
      </c>
      <c r="D1088" t="s">
        <v>1185</v>
      </c>
      <c r="E1088">
        <v>109523179.48999999</v>
      </c>
      <c r="F1088">
        <v>87259638.269999996</v>
      </c>
      <c r="G1088">
        <v>4051463.33</v>
      </c>
    </row>
    <row r="1089" spans="1:7" x14ac:dyDescent="0.25">
      <c r="A1089" s="1">
        <v>45292</v>
      </c>
      <c r="B1089" t="s">
        <v>7</v>
      </c>
      <c r="C1089" t="s">
        <v>1178</v>
      </c>
      <c r="D1089" t="s">
        <v>1186</v>
      </c>
      <c r="E1089">
        <v>78319857.200000003</v>
      </c>
      <c r="F1089">
        <v>12551638.689999999</v>
      </c>
      <c r="G1089">
        <v>80446095.280000001</v>
      </c>
    </row>
    <row r="1090" spans="1:7" x14ac:dyDescent="0.25">
      <c r="A1090" s="1">
        <v>45413</v>
      </c>
      <c r="B1090" t="s">
        <v>7</v>
      </c>
      <c r="C1090" t="s">
        <v>1178</v>
      </c>
      <c r="D1090" t="s">
        <v>1187</v>
      </c>
      <c r="E1090">
        <v>87142876.519999996</v>
      </c>
      <c r="F1090">
        <v>81442234.829999998</v>
      </c>
      <c r="G1090">
        <v>7495712.5099999998</v>
      </c>
    </row>
    <row r="1091" spans="1:7" x14ac:dyDescent="0.25">
      <c r="A1091" s="1">
        <v>45627</v>
      </c>
      <c r="B1091" t="s">
        <v>7</v>
      </c>
      <c r="C1091" t="s">
        <v>1178</v>
      </c>
      <c r="D1091" t="s">
        <v>1188</v>
      </c>
      <c r="E1091">
        <v>108738712.51000001</v>
      </c>
      <c r="F1091">
        <v>126983244.77</v>
      </c>
      <c r="G1091">
        <v>1067278.98</v>
      </c>
    </row>
    <row r="1092" spans="1:7" x14ac:dyDescent="0.25">
      <c r="A1092" s="1">
        <v>45505</v>
      </c>
      <c r="B1092" t="s">
        <v>7</v>
      </c>
      <c r="C1092" t="s">
        <v>1178</v>
      </c>
      <c r="D1092" t="s">
        <v>1189</v>
      </c>
      <c r="E1092">
        <v>88651950.840000004</v>
      </c>
      <c r="F1092">
        <v>84757323.019999996</v>
      </c>
      <c r="G1092">
        <v>818368.97</v>
      </c>
    </row>
    <row r="1093" spans="1:7" x14ac:dyDescent="0.25">
      <c r="A1093" s="1">
        <v>45323</v>
      </c>
      <c r="B1093" t="s">
        <v>7</v>
      </c>
      <c r="C1093" t="s">
        <v>1178</v>
      </c>
      <c r="D1093" t="s">
        <v>1190</v>
      </c>
      <c r="E1093">
        <v>76707171.480000004</v>
      </c>
      <c r="F1093">
        <v>78205307.709999993</v>
      </c>
      <c r="G1093">
        <v>6874581.3399999999</v>
      </c>
    </row>
    <row r="1094" spans="1:7" x14ac:dyDescent="0.25">
      <c r="A1094" s="1">
        <v>45505</v>
      </c>
      <c r="B1094" t="s">
        <v>7</v>
      </c>
      <c r="C1094" t="s">
        <v>1191</v>
      </c>
      <c r="D1094" t="s">
        <v>1192</v>
      </c>
      <c r="E1094">
        <v>6229636.21</v>
      </c>
      <c r="F1094">
        <v>6286219.4699999997</v>
      </c>
      <c r="G1094">
        <v>115733.82</v>
      </c>
    </row>
    <row r="1095" spans="1:7" x14ac:dyDescent="0.25">
      <c r="A1095" s="1">
        <v>45352</v>
      </c>
      <c r="B1095" t="s">
        <v>7</v>
      </c>
      <c r="C1095" t="s">
        <v>1191</v>
      </c>
      <c r="D1095" t="s">
        <v>1193</v>
      </c>
      <c r="E1095">
        <v>10205508.32</v>
      </c>
      <c r="F1095">
        <v>6125904.5499999998</v>
      </c>
      <c r="G1095">
        <v>393092.26</v>
      </c>
    </row>
    <row r="1096" spans="1:7" x14ac:dyDescent="0.25">
      <c r="A1096" s="1">
        <v>45323</v>
      </c>
      <c r="B1096" t="s">
        <v>7</v>
      </c>
      <c r="C1096" t="s">
        <v>1191</v>
      </c>
      <c r="D1096" t="s">
        <v>1194</v>
      </c>
      <c r="E1096">
        <v>6161774.8799999999</v>
      </c>
      <c r="F1096">
        <v>4856428.42</v>
      </c>
      <c r="G1096">
        <v>1064287.04</v>
      </c>
    </row>
    <row r="1097" spans="1:7" x14ac:dyDescent="0.25">
      <c r="A1097" s="1">
        <v>45474</v>
      </c>
      <c r="B1097" t="s">
        <v>7</v>
      </c>
      <c r="C1097" t="s">
        <v>1191</v>
      </c>
      <c r="D1097" t="s">
        <v>1195</v>
      </c>
      <c r="E1097">
        <v>5974653.5099999998</v>
      </c>
      <c r="F1097">
        <v>7316517.4000000004</v>
      </c>
      <c r="G1097">
        <v>341584.35</v>
      </c>
    </row>
    <row r="1098" spans="1:7" x14ac:dyDescent="0.25">
      <c r="A1098" s="1">
        <v>45444</v>
      </c>
      <c r="B1098" t="s">
        <v>7</v>
      </c>
      <c r="C1098" t="s">
        <v>1191</v>
      </c>
      <c r="D1098" t="s">
        <v>1196</v>
      </c>
      <c r="E1098">
        <v>7165738.7999999998</v>
      </c>
      <c r="F1098">
        <v>5978740.9400000004</v>
      </c>
      <c r="G1098">
        <v>41798.019999999997</v>
      </c>
    </row>
    <row r="1099" spans="1:7" x14ac:dyDescent="0.25">
      <c r="A1099" s="1">
        <v>45292</v>
      </c>
      <c r="B1099" t="s">
        <v>7</v>
      </c>
      <c r="C1099" t="s">
        <v>1191</v>
      </c>
      <c r="D1099" t="s">
        <v>1197</v>
      </c>
      <c r="E1099">
        <v>5374303.2599999998</v>
      </c>
      <c r="F1099">
        <v>1195418.05</v>
      </c>
      <c r="G1099">
        <v>6959500.6900000004</v>
      </c>
    </row>
    <row r="1100" spans="1:7" x14ac:dyDescent="0.25">
      <c r="A1100" s="1">
        <v>45627</v>
      </c>
      <c r="B1100" t="s">
        <v>7</v>
      </c>
      <c r="C1100" t="s">
        <v>1191</v>
      </c>
      <c r="D1100" t="s">
        <v>1198</v>
      </c>
      <c r="E1100">
        <v>9349621.8200000003</v>
      </c>
      <c r="F1100">
        <v>8949282.8100000005</v>
      </c>
      <c r="G1100">
        <v>74144.149999999994</v>
      </c>
    </row>
    <row r="1101" spans="1:7" x14ac:dyDescent="0.25">
      <c r="A1101" s="1">
        <v>45413</v>
      </c>
      <c r="B1101" t="s">
        <v>7</v>
      </c>
      <c r="C1101" t="s">
        <v>1191</v>
      </c>
      <c r="D1101" t="s">
        <v>1199</v>
      </c>
      <c r="E1101">
        <v>2006232.33</v>
      </c>
      <c r="F1101">
        <v>5638680.8600000003</v>
      </c>
      <c r="G1101">
        <v>105385.79</v>
      </c>
    </row>
    <row r="1102" spans="1:7" x14ac:dyDescent="0.25">
      <c r="A1102" s="1">
        <v>45383</v>
      </c>
      <c r="B1102" t="s">
        <v>7</v>
      </c>
      <c r="C1102" t="s">
        <v>1191</v>
      </c>
      <c r="D1102" t="s">
        <v>1200</v>
      </c>
      <c r="E1102">
        <v>6055333.6799999997</v>
      </c>
      <c r="F1102">
        <v>6421486.5300000003</v>
      </c>
      <c r="G1102">
        <v>520436.88</v>
      </c>
    </row>
    <row r="1103" spans="1:7" x14ac:dyDescent="0.25">
      <c r="A1103" s="1">
        <v>45536</v>
      </c>
      <c r="B1103" t="s">
        <v>7</v>
      </c>
      <c r="C1103" t="s">
        <v>1191</v>
      </c>
      <c r="D1103" t="s">
        <v>1201</v>
      </c>
      <c r="E1103">
        <v>6441880.4000000004</v>
      </c>
      <c r="F1103">
        <v>6155206.8600000003</v>
      </c>
      <c r="G1103">
        <v>40612.980000000003</v>
      </c>
    </row>
    <row r="1104" spans="1:7" x14ac:dyDescent="0.25">
      <c r="A1104" s="1">
        <v>45597</v>
      </c>
      <c r="B1104" t="s">
        <v>7</v>
      </c>
      <c r="C1104" t="s">
        <v>1191</v>
      </c>
      <c r="D1104" t="s">
        <v>1202</v>
      </c>
      <c r="E1104">
        <v>9492216.3399999999</v>
      </c>
      <c r="F1104">
        <v>7473513.3700000001</v>
      </c>
      <c r="G1104">
        <v>44944.91</v>
      </c>
    </row>
    <row r="1105" spans="1:7" x14ac:dyDescent="0.25">
      <c r="A1105" s="1">
        <v>45566</v>
      </c>
      <c r="B1105" t="s">
        <v>7</v>
      </c>
      <c r="C1105" t="s">
        <v>1191</v>
      </c>
      <c r="D1105" t="s">
        <v>1203</v>
      </c>
      <c r="E1105">
        <v>6778940.79</v>
      </c>
      <c r="F1105">
        <v>6477716.2699999996</v>
      </c>
      <c r="G1105">
        <v>496688.28</v>
      </c>
    </row>
    <row r="1106" spans="1:7" x14ac:dyDescent="0.25">
      <c r="A1106" s="1">
        <v>45505</v>
      </c>
      <c r="B1106" t="s">
        <v>7</v>
      </c>
      <c r="C1106" t="s">
        <v>1204</v>
      </c>
      <c r="D1106" t="s">
        <v>1205</v>
      </c>
      <c r="E1106">
        <v>12880033.5</v>
      </c>
      <c r="F1106">
        <v>12549293.210000001</v>
      </c>
      <c r="G1106">
        <v>71250.179999999993</v>
      </c>
    </row>
    <row r="1107" spans="1:7" x14ac:dyDescent="0.25">
      <c r="A1107" s="1">
        <v>45597</v>
      </c>
      <c r="B1107" t="s">
        <v>7</v>
      </c>
      <c r="C1107" t="s">
        <v>1204</v>
      </c>
      <c r="D1107" t="s">
        <v>1206</v>
      </c>
      <c r="E1107">
        <v>18616895.789999999</v>
      </c>
      <c r="F1107">
        <v>16002203.77</v>
      </c>
      <c r="G1107">
        <v>75941.19</v>
      </c>
    </row>
    <row r="1108" spans="1:7" x14ac:dyDescent="0.25">
      <c r="A1108" s="1">
        <v>45474</v>
      </c>
      <c r="B1108" t="s">
        <v>7</v>
      </c>
      <c r="C1108" t="s">
        <v>1204</v>
      </c>
      <c r="D1108" t="s">
        <v>1207</v>
      </c>
      <c r="E1108">
        <v>12123623.74</v>
      </c>
      <c r="F1108">
        <v>14194692.68</v>
      </c>
      <c r="G1108">
        <v>66998.559999999998</v>
      </c>
    </row>
    <row r="1109" spans="1:7" x14ac:dyDescent="0.25">
      <c r="A1109" s="1">
        <v>45627</v>
      </c>
      <c r="B1109" t="s">
        <v>7</v>
      </c>
      <c r="C1109" t="s">
        <v>1204</v>
      </c>
      <c r="D1109" t="s">
        <v>1208</v>
      </c>
      <c r="E1109">
        <v>17278234.039999999</v>
      </c>
      <c r="F1109">
        <v>18125752.199999999</v>
      </c>
      <c r="G1109">
        <v>40784.550000000003</v>
      </c>
    </row>
    <row r="1110" spans="1:7" x14ac:dyDescent="0.25">
      <c r="A1110" s="1">
        <v>45323</v>
      </c>
      <c r="B1110" t="s">
        <v>7</v>
      </c>
      <c r="C1110" t="s">
        <v>1204</v>
      </c>
      <c r="D1110" t="s">
        <v>1209</v>
      </c>
      <c r="E1110">
        <v>10077094.52</v>
      </c>
      <c r="F1110">
        <v>8837918.4499999993</v>
      </c>
      <c r="G1110">
        <v>2545812.44</v>
      </c>
    </row>
    <row r="1111" spans="1:7" x14ac:dyDescent="0.25">
      <c r="A1111" s="1">
        <v>45352</v>
      </c>
      <c r="B1111" t="s">
        <v>7</v>
      </c>
      <c r="C1111" t="s">
        <v>1204</v>
      </c>
      <c r="D1111" t="s">
        <v>1210</v>
      </c>
      <c r="E1111">
        <v>11045926.960000001</v>
      </c>
      <c r="F1111">
        <v>10729819.76</v>
      </c>
      <c r="G1111">
        <v>1803644.53</v>
      </c>
    </row>
    <row r="1112" spans="1:7" x14ac:dyDescent="0.25">
      <c r="A1112" s="1">
        <v>45444</v>
      </c>
      <c r="B1112" t="s">
        <v>7</v>
      </c>
      <c r="C1112" t="s">
        <v>1204</v>
      </c>
      <c r="D1112" t="s">
        <v>1211</v>
      </c>
      <c r="E1112">
        <v>15103424.140000001</v>
      </c>
      <c r="F1112">
        <v>13016677.35</v>
      </c>
      <c r="G1112">
        <v>157375.15</v>
      </c>
    </row>
    <row r="1113" spans="1:7" x14ac:dyDescent="0.25">
      <c r="A1113" s="1">
        <v>45383</v>
      </c>
      <c r="B1113" t="s">
        <v>7</v>
      </c>
      <c r="C1113" t="s">
        <v>1204</v>
      </c>
      <c r="D1113" t="s">
        <v>1212</v>
      </c>
      <c r="E1113">
        <v>11364754.460000001</v>
      </c>
      <c r="F1113">
        <v>11524819.939999999</v>
      </c>
      <c r="G1113">
        <v>2333945.9900000002</v>
      </c>
    </row>
    <row r="1114" spans="1:7" x14ac:dyDescent="0.25">
      <c r="A1114" s="1">
        <v>45292</v>
      </c>
      <c r="B1114" t="s">
        <v>7</v>
      </c>
      <c r="C1114" t="s">
        <v>1204</v>
      </c>
      <c r="D1114" t="s">
        <v>1213</v>
      </c>
      <c r="E1114">
        <v>9860075.4800000004</v>
      </c>
      <c r="F1114">
        <v>2201517.77</v>
      </c>
      <c r="G1114">
        <v>13961388.279999999</v>
      </c>
    </row>
    <row r="1115" spans="1:7" x14ac:dyDescent="0.25">
      <c r="A1115" s="1">
        <v>45413</v>
      </c>
      <c r="B1115" t="s">
        <v>7</v>
      </c>
      <c r="C1115" t="s">
        <v>1204</v>
      </c>
      <c r="D1115" t="s">
        <v>1214</v>
      </c>
      <c r="E1115">
        <v>13367833.58</v>
      </c>
      <c r="F1115">
        <v>11947858.550000001</v>
      </c>
      <c r="G1115">
        <v>398727.46</v>
      </c>
    </row>
    <row r="1116" spans="1:7" x14ac:dyDescent="0.25">
      <c r="A1116" s="1">
        <v>45566</v>
      </c>
      <c r="B1116" t="s">
        <v>7</v>
      </c>
      <c r="C1116" t="s">
        <v>1204</v>
      </c>
      <c r="D1116" t="s">
        <v>1215</v>
      </c>
      <c r="E1116">
        <v>14210019.26</v>
      </c>
      <c r="F1116">
        <v>13399113.529999999</v>
      </c>
      <c r="G1116">
        <v>23595.62</v>
      </c>
    </row>
    <row r="1117" spans="1:7" x14ac:dyDescent="0.25">
      <c r="A1117" s="1">
        <v>45536</v>
      </c>
      <c r="B1117" t="s">
        <v>7</v>
      </c>
      <c r="C1117" t="s">
        <v>1204</v>
      </c>
      <c r="D1117" t="s">
        <v>1216</v>
      </c>
      <c r="E1117">
        <v>13306652.15</v>
      </c>
      <c r="F1117">
        <v>14000317.710000001</v>
      </c>
      <c r="G1117">
        <v>55196.43</v>
      </c>
    </row>
    <row r="1118" spans="1:7" x14ac:dyDescent="0.25">
      <c r="A1118" s="1">
        <v>45292</v>
      </c>
      <c r="B1118" t="s">
        <v>7</v>
      </c>
      <c r="C1118" t="s">
        <v>1217</v>
      </c>
      <c r="D1118" t="s">
        <v>1218</v>
      </c>
      <c r="E1118">
        <v>135824293.28</v>
      </c>
      <c r="F1118">
        <v>22946669.420000002</v>
      </c>
      <c r="G1118">
        <v>177978314.47999999</v>
      </c>
    </row>
    <row r="1119" spans="1:7" x14ac:dyDescent="0.25">
      <c r="A1119" s="1">
        <v>45383</v>
      </c>
      <c r="B1119" t="s">
        <v>7</v>
      </c>
      <c r="C1119" t="s">
        <v>1217</v>
      </c>
      <c r="D1119" t="s">
        <v>1219</v>
      </c>
      <c r="E1119">
        <v>150296661.16</v>
      </c>
      <c r="F1119">
        <v>163078932.63999999</v>
      </c>
      <c r="G1119">
        <v>4608407.71</v>
      </c>
    </row>
    <row r="1120" spans="1:7" x14ac:dyDescent="0.25">
      <c r="A1120" s="1">
        <v>45627</v>
      </c>
      <c r="B1120" t="s">
        <v>7</v>
      </c>
      <c r="C1120" t="s">
        <v>1217</v>
      </c>
      <c r="D1120" t="s">
        <v>1220</v>
      </c>
      <c r="E1120">
        <v>171898526.38</v>
      </c>
      <c r="F1120">
        <v>175217231.93000001</v>
      </c>
      <c r="G1120">
        <v>3024113.62</v>
      </c>
    </row>
    <row r="1121" spans="1:7" x14ac:dyDescent="0.25">
      <c r="A1121" s="1">
        <v>45323</v>
      </c>
      <c r="B1121" t="s">
        <v>7</v>
      </c>
      <c r="C1121" t="s">
        <v>1217</v>
      </c>
      <c r="D1121" t="s">
        <v>1221</v>
      </c>
      <c r="E1121">
        <v>138927604.68000001</v>
      </c>
      <c r="F1121">
        <v>125698040.45999999</v>
      </c>
      <c r="G1121">
        <v>7178357.71</v>
      </c>
    </row>
    <row r="1122" spans="1:7" x14ac:dyDescent="0.25">
      <c r="A1122" s="1">
        <v>45413</v>
      </c>
      <c r="B1122" t="s">
        <v>7</v>
      </c>
      <c r="C1122" t="s">
        <v>1217</v>
      </c>
      <c r="D1122" t="s">
        <v>1222</v>
      </c>
      <c r="E1122">
        <v>152834726.06999999</v>
      </c>
      <c r="F1122">
        <v>145342762.69</v>
      </c>
      <c r="G1122">
        <v>6535484.6200000001</v>
      </c>
    </row>
    <row r="1123" spans="1:7" x14ac:dyDescent="0.25">
      <c r="A1123" s="1">
        <v>45597</v>
      </c>
      <c r="B1123" t="s">
        <v>7</v>
      </c>
      <c r="C1123" t="s">
        <v>1217</v>
      </c>
      <c r="D1123" t="s">
        <v>1223</v>
      </c>
      <c r="E1123">
        <v>226090638.81999999</v>
      </c>
      <c r="F1123">
        <v>178093661.53</v>
      </c>
      <c r="G1123">
        <v>4382878.38</v>
      </c>
    </row>
    <row r="1124" spans="1:7" x14ac:dyDescent="0.25">
      <c r="A1124" s="1">
        <v>45474</v>
      </c>
      <c r="B1124" t="s">
        <v>7</v>
      </c>
      <c r="C1124" t="s">
        <v>1217</v>
      </c>
      <c r="D1124" t="s">
        <v>1224</v>
      </c>
      <c r="E1124">
        <v>154849384.16</v>
      </c>
      <c r="F1124">
        <v>198423872.28</v>
      </c>
      <c r="G1124">
        <v>4921433.7699999996</v>
      </c>
    </row>
    <row r="1125" spans="1:7" x14ac:dyDescent="0.25">
      <c r="A1125" s="1">
        <v>45444</v>
      </c>
      <c r="B1125" t="s">
        <v>7</v>
      </c>
      <c r="C1125" t="s">
        <v>1217</v>
      </c>
      <c r="D1125" t="s">
        <v>1225</v>
      </c>
      <c r="E1125">
        <v>197569377.15000001</v>
      </c>
      <c r="F1125">
        <v>155157093.77000001</v>
      </c>
      <c r="G1125">
        <v>6501938.6100000003</v>
      </c>
    </row>
    <row r="1126" spans="1:7" x14ac:dyDescent="0.25">
      <c r="A1126" s="1">
        <v>45352</v>
      </c>
      <c r="B1126" t="s">
        <v>7</v>
      </c>
      <c r="C1126" t="s">
        <v>1217</v>
      </c>
      <c r="D1126" t="s">
        <v>1226</v>
      </c>
      <c r="E1126">
        <v>141008278.13</v>
      </c>
      <c r="F1126">
        <v>138925245.34</v>
      </c>
      <c r="G1126">
        <v>7685178.3899999997</v>
      </c>
    </row>
    <row r="1127" spans="1:7" x14ac:dyDescent="0.25">
      <c r="A1127" s="1">
        <v>45536</v>
      </c>
      <c r="B1127" t="s">
        <v>7</v>
      </c>
      <c r="C1127" t="s">
        <v>1217</v>
      </c>
      <c r="D1127" t="s">
        <v>1227</v>
      </c>
      <c r="E1127">
        <v>155615415.75</v>
      </c>
      <c r="F1127">
        <v>167885270.16</v>
      </c>
      <c r="G1127">
        <v>2620442.0299999998</v>
      </c>
    </row>
    <row r="1128" spans="1:7" x14ac:dyDescent="0.25">
      <c r="A1128" s="1">
        <v>45505</v>
      </c>
      <c r="B1128" t="s">
        <v>7</v>
      </c>
      <c r="C1128" t="s">
        <v>1217</v>
      </c>
      <c r="D1128" t="s">
        <v>1228</v>
      </c>
      <c r="E1128">
        <v>152418118.66</v>
      </c>
      <c r="F1128">
        <v>141171237.65000001</v>
      </c>
      <c r="G1128">
        <v>3355892.83</v>
      </c>
    </row>
    <row r="1129" spans="1:7" x14ac:dyDescent="0.25">
      <c r="A1129" s="1">
        <v>45566</v>
      </c>
      <c r="B1129" t="s">
        <v>7</v>
      </c>
      <c r="C1129" t="s">
        <v>1217</v>
      </c>
      <c r="D1129" t="s">
        <v>1229</v>
      </c>
      <c r="E1129">
        <v>158740745.21000001</v>
      </c>
      <c r="F1129">
        <v>157594030.44999999</v>
      </c>
      <c r="G1129">
        <v>2682277.59</v>
      </c>
    </row>
    <row r="1130" spans="1:7" x14ac:dyDescent="0.25">
      <c r="A1130" s="1">
        <v>45413</v>
      </c>
      <c r="B1130" t="s">
        <v>7</v>
      </c>
      <c r="C1130" t="s">
        <v>1230</v>
      </c>
      <c r="D1130" t="s">
        <v>1231</v>
      </c>
      <c r="E1130">
        <v>8184749.8399999999</v>
      </c>
      <c r="F1130">
        <v>7228982.8099999996</v>
      </c>
      <c r="G1130">
        <v>475776.75</v>
      </c>
    </row>
    <row r="1131" spans="1:7" x14ac:dyDescent="0.25">
      <c r="A1131" s="1">
        <v>45323</v>
      </c>
      <c r="B1131" t="s">
        <v>7</v>
      </c>
      <c r="C1131" t="s">
        <v>1230</v>
      </c>
      <c r="D1131" t="s">
        <v>1232</v>
      </c>
      <c r="E1131">
        <v>6298754.4299999997</v>
      </c>
      <c r="F1131">
        <v>5328219.92</v>
      </c>
      <c r="G1131">
        <v>2329540.5099999998</v>
      </c>
    </row>
    <row r="1132" spans="1:7" x14ac:dyDescent="0.25">
      <c r="A1132" s="1">
        <v>45352</v>
      </c>
      <c r="B1132" t="s">
        <v>7</v>
      </c>
      <c r="C1132" t="s">
        <v>1230</v>
      </c>
      <c r="D1132" t="s">
        <v>1233</v>
      </c>
      <c r="E1132">
        <v>6785746.71</v>
      </c>
      <c r="F1132">
        <v>6651174.3499999996</v>
      </c>
      <c r="G1132">
        <v>1161661.8999999999</v>
      </c>
    </row>
    <row r="1133" spans="1:7" x14ac:dyDescent="0.25">
      <c r="A1133" s="1">
        <v>45444</v>
      </c>
      <c r="B1133" t="s">
        <v>7</v>
      </c>
      <c r="C1133" t="s">
        <v>1230</v>
      </c>
      <c r="D1133" t="s">
        <v>1234</v>
      </c>
      <c r="E1133">
        <v>10141346.380000001</v>
      </c>
      <c r="F1133">
        <v>8079430.0899999999</v>
      </c>
      <c r="G1133">
        <v>140816.21</v>
      </c>
    </row>
    <row r="1134" spans="1:7" x14ac:dyDescent="0.25">
      <c r="A1134" s="1">
        <v>45536</v>
      </c>
      <c r="B1134" t="s">
        <v>7</v>
      </c>
      <c r="C1134" t="s">
        <v>1230</v>
      </c>
      <c r="D1134" t="s">
        <v>1235</v>
      </c>
      <c r="E1134">
        <v>8503753.5399999991</v>
      </c>
      <c r="F1134">
        <v>7840550.3700000001</v>
      </c>
      <c r="G1134">
        <v>69345.81</v>
      </c>
    </row>
    <row r="1135" spans="1:7" x14ac:dyDescent="0.25">
      <c r="A1135" s="1">
        <v>45627</v>
      </c>
      <c r="B1135" t="s">
        <v>7</v>
      </c>
      <c r="C1135" t="s">
        <v>1230</v>
      </c>
      <c r="D1135" t="s">
        <v>1236</v>
      </c>
      <c r="E1135">
        <v>12133801.1</v>
      </c>
      <c r="F1135">
        <v>11626701.59</v>
      </c>
      <c r="G1135">
        <v>169807.81</v>
      </c>
    </row>
    <row r="1136" spans="1:7" x14ac:dyDescent="0.25">
      <c r="A1136" s="1">
        <v>45505</v>
      </c>
      <c r="B1136" t="s">
        <v>7</v>
      </c>
      <c r="C1136" t="s">
        <v>1230</v>
      </c>
      <c r="D1136" t="s">
        <v>1237</v>
      </c>
      <c r="E1136">
        <v>8001406.2800000003</v>
      </c>
      <c r="F1136">
        <v>9379955.3399999999</v>
      </c>
      <c r="G1136">
        <v>66797.259999999995</v>
      </c>
    </row>
    <row r="1137" spans="1:7" x14ac:dyDescent="0.25">
      <c r="A1137" s="1">
        <v>45383</v>
      </c>
      <c r="B1137" t="s">
        <v>7</v>
      </c>
      <c r="C1137" t="s">
        <v>1230</v>
      </c>
      <c r="D1137" t="s">
        <v>1238</v>
      </c>
      <c r="E1137">
        <v>7114336.5899999999</v>
      </c>
      <c r="F1137">
        <v>6963797.29</v>
      </c>
      <c r="G1137">
        <v>542188.15</v>
      </c>
    </row>
    <row r="1138" spans="1:7" x14ac:dyDescent="0.25">
      <c r="A1138" s="1">
        <v>45292</v>
      </c>
      <c r="B1138" t="s">
        <v>7</v>
      </c>
      <c r="C1138" t="s">
        <v>1230</v>
      </c>
      <c r="D1138" t="s">
        <v>1239</v>
      </c>
      <c r="E1138">
        <v>5808668.5800000001</v>
      </c>
      <c r="F1138">
        <v>1317620.56</v>
      </c>
      <c r="G1138">
        <v>9393727.5299999993</v>
      </c>
    </row>
    <row r="1139" spans="1:7" x14ac:dyDescent="0.25">
      <c r="A1139" s="1">
        <v>45474</v>
      </c>
      <c r="B1139" t="s">
        <v>7</v>
      </c>
      <c r="C1139" t="s">
        <v>1230</v>
      </c>
      <c r="D1139" t="s">
        <v>1240</v>
      </c>
      <c r="E1139">
        <v>9315935.1500000004</v>
      </c>
      <c r="F1139">
        <v>10357524</v>
      </c>
      <c r="G1139">
        <v>243765.08</v>
      </c>
    </row>
    <row r="1140" spans="1:7" x14ac:dyDescent="0.25">
      <c r="A1140" s="1">
        <v>45597</v>
      </c>
      <c r="B1140" t="s">
        <v>7</v>
      </c>
      <c r="C1140" t="s">
        <v>1230</v>
      </c>
      <c r="D1140" t="s">
        <v>1241</v>
      </c>
      <c r="E1140">
        <v>11534354.140000001</v>
      </c>
      <c r="F1140">
        <v>9882626.6799999997</v>
      </c>
      <c r="G1140">
        <v>49110.18</v>
      </c>
    </row>
    <row r="1141" spans="1:7" x14ac:dyDescent="0.25">
      <c r="A1141" s="1">
        <v>45566</v>
      </c>
      <c r="B1141" t="s">
        <v>7</v>
      </c>
      <c r="C1141" t="s">
        <v>1230</v>
      </c>
      <c r="D1141" t="s">
        <v>1242</v>
      </c>
      <c r="E1141">
        <v>8396819.5999999996</v>
      </c>
      <c r="F1141">
        <v>8125805.9699999997</v>
      </c>
      <c r="G1141">
        <v>132096.64000000001</v>
      </c>
    </row>
    <row r="1142" spans="1:7" x14ac:dyDescent="0.25">
      <c r="A1142" s="1">
        <v>45352</v>
      </c>
      <c r="B1142" t="s">
        <v>7</v>
      </c>
      <c r="C1142" t="s">
        <v>1243</v>
      </c>
      <c r="D1142" t="s">
        <v>1244</v>
      </c>
      <c r="E1142">
        <v>92553896.140000001</v>
      </c>
      <c r="F1142">
        <v>92788369.010000005</v>
      </c>
      <c r="G1142">
        <v>4358281.72</v>
      </c>
    </row>
    <row r="1143" spans="1:7" x14ac:dyDescent="0.25">
      <c r="A1143" s="1">
        <v>45627</v>
      </c>
      <c r="B1143" t="s">
        <v>7</v>
      </c>
      <c r="C1143" t="s">
        <v>1243</v>
      </c>
      <c r="D1143" t="s">
        <v>1245</v>
      </c>
      <c r="E1143">
        <v>124623708.58</v>
      </c>
      <c r="F1143">
        <v>135232962.88999999</v>
      </c>
      <c r="G1143">
        <v>344881</v>
      </c>
    </row>
    <row r="1144" spans="1:7" x14ac:dyDescent="0.25">
      <c r="A1144" s="1">
        <v>45505</v>
      </c>
      <c r="B1144" t="s">
        <v>7</v>
      </c>
      <c r="C1144" t="s">
        <v>1243</v>
      </c>
      <c r="D1144" t="s">
        <v>1246</v>
      </c>
      <c r="E1144">
        <v>97396717.319999993</v>
      </c>
      <c r="F1144">
        <v>99193119.519999996</v>
      </c>
      <c r="G1144">
        <v>1546016.78</v>
      </c>
    </row>
    <row r="1145" spans="1:7" x14ac:dyDescent="0.25">
      <c r="A1145" s="1">
        <v>45292</v>
      </c>
      <c r="B1145" t="s">
        <v>7</v>
      </c>
      <c r="C1145" t="s">
        <v>1243</v>
      </c>
      <c r="D1145" t="s">
        <v>1247</v>
      </c>
      <c r="E1145">
        <v>92156035.439999998</v>
      </c>
      <c r="F1145">
        <v>14963764.060000001</v>
      </c>
      <c r="G1145">
        <v>105232494.91</v>
      </c>
    </row>
    <row r="1146" spans="1:7" x14ac:dyDescent="0.25">
      <c r="A1146" s="1">
        <v>45597</v>
      </c>
      <c r="B1146" t="s">
        <v>7</v>
      </c>
      <c r="C1146" t="s">
        <v>1243</v>
      </c>
      <c r="D1146" t="s">
        <v>1248</v>
      </c>
      <c r="E1146">
        <v>143202676.28999999</v>
      </c>
      <c r="F1146">
        <v>108617801.26000001</v>
      </c>
      <c r="G1146">
        <v>87009.77</v>
      </c>
    </row>
    <row r="1147" spans="1:7" x14ac:dyDescent="0.25">
      <c r="A1147" s="1">
        <v>45566</v>
      </c>
      <c r="B1147" t="s">
        <v>7</v>
      </c>
      <c r="C1147" t="s">
        <v>1243</v>
      </c>
      <c r="D1147" t="s">
        <v>1249</v>
      </c>
      <c r="E1147">
        <v>98275862.799999997</v>
      </c>
      <c r="F1147">
        <v>97209212.409999996</v>
      </c>
      <c r="G1147">
        <v>315500.63</v>
      </c>
    </row>
    <row r="1148" spans="1:7" x14ac:dyDescent="0.25">
      <c r="A1148" s="1">
        <v>45444</v>
      </c>
      <c r="B1148" t="s">
        <v>7</v>
      </c>
      <c r="C1148" t="s">
        <v>1243</v>
      </c>
      <c r="D1148" t="s">
        <v>1250</v>
      </c>
      <c r="E1148">
        <v>126795921.81</v>
      </c>
      <c r="F1148">
        <v>101632020.67</v>
      </c>
      <c r="G1148">
        <v>1096794.3700000001</v>
      </c>
    </row>
    <row r="1149" spans="1:7" x14ac:dyDescent="0.25">
      <c r="A1149" s="1">
        <v>45323</v>
      </c>
      <c r="B1149" t="s">
        <v>7</v>
      </c>
      <c r="C1149" t="s">
        <v>1243</v>
      </c>
      <c r="D1149" t="s">
        <v>1251</v>
      </c>
      <c r="E1149">
        <v>90007035.189999998</v>
      </c>
      <c r="F1149">
        <v>92716549.180000007</v>
      </c>
      <c r="G1149">
        <v>5354905.5</v>
      </c>
    </row>
    <row r="1150" spans="1:7" x14ac:dyDescent="0.25">
      <c r="A1150" s="1">
        <v>45474</v>
      </c>
      <c r="B1150" t="s">
        <v>7</v>
      </c>
      <c r="C1150" t="s">
        <v>1243</v>
      </c>
      <c r="D1150" t="s">
        <v>1252</v>
      </c>
      <c r="E1150">
        <v>100770195.92</v>
      </c>
      <c r="F1150">
        <v>127831320.40000001</v>
      </c>
      <c r="G1150">
        <v>554658.54</v>
      </c>
    </row>
    <row r="1151" spans="1:7" x14ac:dyDescent="0.25">
      <c r="A1151" s="1">
        <v>45536</v>
      </c>
      <c r="B1151" t="s">
        <v>7</v>
      </c>
      <c r="C1151" t="s">
        <v>1243</v>
      </c>
      <c r="D1151" t="s">
        <v>1253</v>
      </c>
      <c r="E1151">
        <v>98860238.260000005</v>
      </c>
      <c r="F1151">
        <v>99563240.950000003</v>
      </c>
      <c r="G1151">
        <v>367213.29</v>
      </c>
    </row>
    <row r="1152" spans="1:7" x14ac:dyDescent="0.25">
      <c r="A1152" s="1">
        <v>45413</v>
      </c>
      <c r="B1152" t="s">
        <v>7</v>
      </c>
      <c r="C1152" t="s">
        <v>1243</v>
      </c>
      <c r="D1152" t="s">
        <v>1254</v>
      </c>
      <c r="E1152">
        <v>101695480.59999999</v>
      </c>
      <c r="F1152">
        <v>96445445.700000003</v>
      </c>
      <c r="G1152">
        <v>2751138.99</v>
      </c>
    </row>
    <row r="1153" spans="1:7" x14ac:dyDescent="0.25">
      <c r="A1153" s="1">
        <v>45383</v>
      </c>
      <c r="B1153" t="s">
        <v>7</v>
      </c>
      <c r="C1153" t="s">
        <v>1243</v>
      </c>
      <c r="D1153" t="s">
        <v>1255</v>
      </c>
      <c r="E1153">
        <v>96795978.25</v>
      </c>
      <c r="F1153">
        <v>95157059.579999998</v>
      </c>
      <c r="G1153">
        <v>5315664.34</v>
      </c>
    </row>
    <row r="1154" spans="1:7" x14ac:dyDescent="0.25">
      <c r="A1154" s="1">
        <v>45323</v>
      </c>
      <c r="B1154" t="s">
        <v>7</v>
      </c>
      <c r="C1154" t="s">
        <v>1256</v>
      </c>
      <c r="D1154" t="s">
        <v>1257</v>
      </c>
      <c r="E1154">
        <v>49580423.490000002</v>
      </c>
      <c r="F1154">
        <v>50479712.469999999</v>
      </c>
      <c r="G1154">
        <v>792151.77</v>
      </c>
    </row>
    <row r="1155" spans="1:7" x14ac:dyDescent="0.25">
      <c r="A1155" s="1">
        <v>45383</v>
      </c>
      <c r="B1155" t="s">
        <v>7</v>
      </c>
      <c r="C1155" t="s">
        <v>1256</v>
      </c>
      <c r="D1155" t="s">
        <v>1258</v>
      </c>
      <c r="E1155">
        <v>49849039.270000003</v>
      </c>
      <c r="F1155">
        <v>48623607.140000001</v>
      </c>
      <c r="G1155">
        <v>1237871.81</v>
      </c>
    </row>
    <row r="1156" spans="1:7" x14ac:dyDescent="0.25">
      <c r="A1156" s="1">
        <v>45352</v>
      </c>
      <c r="B1156" t="s">
        <v>7</v>
      </c>
      <c r="C1156" t="s">
        <v>1256</v>
      </c>
      <c r="D1156" t="s">
        <v>1259</v>
      </c>
      <c r="E1156">
        <v>49685752.630000003</v>
      </c>
      <c r="F1156">
        <v>49289613.75</v>
      </c>
      <c r="G1156">
        <v>3263492.57</v>
      </c>
    </row>
    <row r="1157" spans="1:7" x14ac:dyDescent="0.25">
      <c r="A1157" s="1">
        <v>45474</v>
      </c>
      <c r="B1157" t="s">
        <v>7</v>
      </c>
      <c r="C1157" t="s">
        <v>1256</v>
      </c>
      <c r="D1157" t="s">
        <v>1260</v>
      </c>
      <c r="E1157">
        <v>51846954.590000004</v>
      </c>
      <c r="F1157">
        <v>67387329.439999998</v>
      </c>
      <c r="G1157">
        <v>1378248.97</v>
      </c>
    </row>
    <row r="1158" spans="1:7" x14ac:dyDescent="0.25">
      <c r="A1158" s="1">
        <v>45505</v>
      </c>
      <c r="B1158" t="s">
        <v>7</v>
      </c>
      <c r="C1158" t="s">
        <v>1256</v>
      </c>
      <c r="D1158" t="s">
        <v>1261</v>
      </c>
      <c r="E1158">
        <v>52527709.740000002</v>
      </c>
      <c r="F1158">
        <v>51208057.670000002</v>
      </c>
      <c r="G1158">
        <v>886632.47</v>
      </c>
    </row>
    <row r="1159" spans="1:7" x14ac:dyDescent="0.25">
      <c r="A1159" s="1">
        <v>45444</v>
      </c>
      <c r="B1159" t="s">
        <v>7</v>
      </c>
      <c r="C1159" t="s">
        <v>1256</v>
      </c>
      <c r="D1159" t="s">
        <v>1262</v>
      </c>
      <c r="E1159">
        <v>67168824.650000006</v>
      </c>
      <c r="F1159">
        <v>54849122.560000002</v>
      </c>
      <c r="G1159">
        <v>1580185.46</v>
      </c>
    </row>
    <row r="1160" spans="1:7" x14ac:dyDescent="0.25">
      <c r="A1160" s="1">
        <v>45536</v>
      </c>
      <c r="B1160" t="s">
        <v>7</v>
      </c>
      <c r="C1160" t="s">
        <v>1256</v>
      </c>
      <c r="D1160" t="s">
        <v>1263</v>
      </c>
      <c r="E1160">
        <v>50461593.130000003</v>
      </c>
      <c r="F1160">
        <v>50293630.539999999</v>
      </c>
      <c r="G1160">
        <v>2427348.7799999998</v>
      </c>
    </row>
    <row r="1161" spans="1:7" x14ac:dyDescent="0.25">
      <c r="A1161" s="1">
        <v>45627</v>
      </c>
      <c r="B1161" t="s">
        <v>7</v>
      </c>
      <c r="C1161" t="s">
        <v>1256</v>
      </c>
      <c r="D1161" t="s">
        <v>1264</v>
      </c>
      <c r="E1161">
        <v>61586080.75</v>
      </c>
      <c r="F1161">
        <v>64675155.259999998</v>
      </c>
      <c r="G1161">
        <v>1831108.56</v>
      </c>
    </row>
    <row r="1162" spans="1:7" x14ac:dyDescent="0.25">
      <c r="A1162" s="1">
        <v>45413</v>
      </c>
      <c r="B1162" t="s">
        <v>7</v>
      </c>
      <c r="C1162" t="s">
        <v>1256</v>
      </c>
      <c r="D1162" t="s">
        <v>1265</v>
      </c>
      <c r="E1162">
        <v>55756016.719999999</v>
      </c>
      <c r="F1162">
        <v>53344792.020000003</v>
      </c>
      <c r="G1162">
        <v>1873295.81</v>
      </c>
    </row>
    <row r="1163" spans="1:7" x14ac:dyDescent="0.25">
      <c r="A1163" s="1">
        <v>45566</v>
      </c>
      <c r="B1163" t="s">
        <v>7</v>
      </c>
      <c r="C1163" t="s">
        <v>1256</v>
      </c>
      <c r="D1163" t="s">
        <v>1266</v>
      </c>
      <c r="E1163">
        <v>52779141.659999996</v>
      </c>
      <c r="F1163">
        <v>53942341.439999998</v>
      </c>
      <c r="G1163">
        <v>224679.05</v>
      </c>
    </row>
    <row r="1164" spans="1:7" x14ac:dyDescent="0.25">
      <c r="A1164" s="1">
        <v>45597</v>
      </c>
      <c r="B1164" t="s">
        <v>7</v>
      </c>
      <c r="C1164" t="s">
        <v>1256</v>
      </c>
      <c r="D1164" t="s">
        <v>1267</v>
      </c>
      <c r="E1164">
        <v>79312930.269999996</v>
      </c>
      <c r="F1164">
        <v>54213009.590000004</v>
      </c>
      <c r="G1164">
        <v>1575035.71</v>
      </c>
    </row>
    <row r="1165" spans="1:7" x14ac:dyDescent="0.25">
      <c r="A1165" s="1">
        <v>45292</v>
      </c>
      <c r="B1165" t="s">
        <v>7</v>
      </c>
      <c r="C1165" t="s">
        <v>1256</v>
      </c>
      <c r="D1165" t="s">
        <v>1268</v>
      </c>
      <c r="E1165">
        <v>47573238.119999997</v>
      </c>
      <c r="F1165">
        <v>8892357.0399999991</v>
      </c>
      <c r="G1165">
        <v>48519667.630000003</v>
      </c>
    </row>
    <row r="1166" spans="1:7" x14ac:dyDescent="0.25">
      <c r="A1166" s="1">
        <v>45597</v>
      </c>
      <c r="B1166" t="s">
        <v>7</v>
      </c>
      <c r="C1166" t="s">
        <v>1269</v>
      </c>
      <c r="D1166" t="s">
        <v>1270</v>
      </c>
      <c r="E1166">
        <v>15336801.16</v>
      </c>
      <c r="F1166">
        <v>11886332.619999999</v>
      </c>
      <c r="G1166">
        <v>296402.78999999998</v>
      </c>
    </row>
    <row r="1167" spans="1:7" x14ac:dyDescent="0.25">
      <c r="A1167" s="1">
        <v>45566</v>
      </c>
      <c r="B1167" t="s">
        <v>7</v>
      </c>
      <c r="C1167" t="s">
        <v>1269</v>
      </c>
      <c r="D1167" t="s">
        <v>1271</v>
      </c>
      <c r="E1167">
        <v>10292091.119999999</v>
      </c>
      <c r="F1167">
        <v>10105226.880000001</v>
      </c>
      <c r="G1167">
        <v>411612.53</v>
      </c>
    </row>
    <row r="1168" spans="1:7" x14ac:dyDescent="0.25">
      <c r="A1168" s="1">
        <v>45627</v>
      </c>
      <c r="B1168" t="s">
        <v>7</v>
      </c>
      <c r="C1168" t="s">
        <v>1269</v>
      </c>
      <c r="D1168" t="s">
        <v>1272</v>
      </c>
      <c r="E1168">
        <v>13634750.289999999</v>
      </c>
      <c r="F1168">
        <v>13676400.76</v>
      </c>
      <c r="G1168">
        <v>171970.88</v>
      </c>
    </row>
    <row r="1169" spans="1:7" x14ac:dyDescent="0.25">
      <c r="A1169" s="1">
        <v>45536</v>
      </c>
      <c r="B1169" t="s">
        <v>7</v>
      </c>
      <c r="C1169" t="s">
        <v>1269</v>
      </c>
      <c r="D1169" t="s">
        <v>1273</v>
      </c>
      <c r="E1169">
        <v>10280372.1</v>
      </c>
      <c r="F1169">
        <v>10387143.619999999</v>
      </c>
      <c r="G1169">
        <v>132996.22</v>
      </c>
    </row>
    <row r="1170" spans="1:7" x14ac:dyDescent="0.25">
      <c r="A1170" s="1">
        <v>45505</v>
      </c>
      <c r="B1170" t="s">
        <v>7</v>
      </c>
      <c r="C1170" t="s">
        <v>1269</v>
      </c>
      <c r="D1170" t="s">
        <v>1274</v>
      </c>
      <c r="E1170">
        <v>9823640.6899999995</v>
      </c>
      <c r="F1170">
        <v>10091753.630000001</v>
      </c>
      <c r="G1170">
        <v>255248.49</v>
      </c>
    </row>
    <row r="1171" spans="1:7" x14ac:dyDescent="0.25">
      <c r="A1171" s="1">
        <v>45383</v>
      </c>
      <c r="B1171" t="s">
        <v>7</v>
      </c>
      <c r="C1171" t="s">
        <v>1269</v>
      </c>
      <c r="D1171" t="s">
        <v>1275</v>
      </c>
      <c r="E1171">
        <v>8171875.9400000004</v>
      </c>
      <c r="F1171">
        <v>8101294.6399999997</v>
      </c>
      <c r="G1171">
        <v>263300</v>
      </c>
    </row>
    <row r="1172" spans="1:7" x14ac:dyDescent="0.25">
      <c r="A1172" s="1">
        <v>45444</v>
      </c>
      <c r="B1172" t="s">
        <v>7</v>
      </c>
      <c r="C1172" t="s">
        <v>1269</v>
      </c>
      <c r="D1172" t="s">
        <v>1276</v>
      </c>
      <c r="E1172">
        <v>13049218.33</v>
      </c>
      <c r="F1172">
        <v>9884924.5999999996</v>
      </c>
      <c r="G1172">
        <v>134350.19</v>
      </c>
    </row>
    <row r="1173" spans="1:7" x14ac:dyDescent="0.25">
      <c r="A1173" s="1">
        <v>45474</v>
      </c>
      <c r="B1173" t="s">
        <v>7</v>
      </c>
      <c r="C1173" t="s">
        <v>1269</v>
      </c>
      <c r="D1173" t="s">
        <v>1277</v>
      </c>
      <c r="E1173">
        <v>9711322.4100000001</v>
      </c>
      <c r="F1173">
        <v>12323189.42</v>
      </c>
      <c r="G1173">
        <v>367939.89</v>
      </c>
    </row>
    <row r="1174" spans="1:7" x14ac:dyDescent="0.25">
      <c r="A1174" s="1">
        <v>45323</v>
      </c>
      <c r="B1174" t="s">
        <v>7</v>
      </c>
      <c r="C1174" t="s">
        <v>1269</v>
      </c>
      <c r="D1174" t="s">
        <v>1278</v>
      </c>
      <c r="E1174">
        <v>7688389.8700000001</v>
      </c>
      <c r="F1174">
        <v>6739824.2800000003</v>
      </c>
      <c r="G1174">
        <v>1586172.45</v>
      </c>
    </row>
    <row r="1175" spans="1:7" x14ac:dyDescent="0.25">
      <c r="A1175" s="1">
        <v>45352</v>
      </c>
      <c r="B1175" t="s">
        <v>7</v>
      </c>
      <c r="C1175" t="s">
        <v>1269</v>
      </c>
      <c r="D1175" t="s">
        <v>1279</v>
      </c>
      <c r="E1175">
        <v>7896605.8899999997</v>
      </c>
      <c r="F1175">
        <v>7797636.9199999999</v>
      </c>
      <c r="G1175">
        <v>407870.34</v>
      </c>
    </row>
    <row r="1176" spans="1:7" x14ac:dyDescent="0.25">
      <c r="A1176" s="1">
        <v>45413</v>
      </c>
      <c r="B1176" t="s">
        <v>7</v>
      </c>
      <c r="C1176" t="s">
        <v>1269</v>
      </c>
      <c r="D1176" t="s">
        <v>1280</v>
      </c>
      <c r="E1176">
        <v>9044909.9900000002</v>
      </c>
      <c r="F1176">
        <v>8440540.5199999996</v>
      </c>
      <c r="G1176">
        <v>277911.58</v>
      </c>
    </row>
    <row r="1177" spans="1:7" x14ac:dyDescent="0.25">
      <c r="A1177" s="1">
        <v>45292</v>
      </c>
      <c r="B1177" t="s">
        <v>7</v>
      </c>
      <c r="C1177" t="s">
        <v>1269</v>
      </c>
      <c r="D1177" t="s">
        <v>1281</v>
      </c>
      <c r="E1177">
        <v>7712168.29</v>
      </c>
      <c r="F1177">
        <v>1701471.38</v>
      </c>
      <c r="G1177">
        <v>9487801.8800000008</v>
      </c>
    </row>
    <row r="1178" spans="1:7" x14ac:dyDescent="0.25">
      <c r="A1178" s="1">
        <v>45292</v>
      </c>
      <c r="B1178" t="s">
        <v>7</v>
      </c>
      <c r="C1178" t="s">
        <v>1282</v>
      </c>
      <c r="D1178" t="s">
        <v>1283</v>
      </c>
      <c r="E1178">
        <v>9463702.7899999991</v>
      </c>
      <c r="F1178">
        <v>1726061.48</v>
      </c>
      <c r="G1178">
        <v>15241899.9</v>
      </c>
    </row>
    <row r="1179" spans="1:7" x14ac:dyDescent="0.25">
      <c r="A1179" s="1">
        <v>45383</v>
      </c>
      <c r="B1179" t="s">
        <v>7</v>
      </c>
      <c r="C1179" t="s">
        <v>1282</v>
      </c>
      <c r="D1179" t="s">
        <v>1284</v>
      </c>
      <c r="E1179">
        <v>11048155.359999999</v>
      </c>
      <c r="F1179">
        <v>11246460.949999999</v>
      </c>
      <c r="G1179">
        <v>878475.16</v>
      </c>
    </row>
    <row r="1180" spans="1:7" x14ac:dyDescent="0.25">
      <c r="A1180" s="1">
        <v>45505</v>
      </c>
      <c r="B1180" t="s">
        <v>7</v>
      </c>
      <c r="C1180" t="s">
        <v>1282</v>
      </c>
      <c r="D1180" t="s">
        <v>1285</v>
      </c>
      <c r="E1180">
        <v>12105476.76</v>
      </c>
      <c r="F1180">
        <v>12175611.970000001</v>
      </c>
      <c r="G1180">
        <v>576497.64</v>
      </c>
    </row>
    <row r="1181" spans="1:7" x14ac:dyDescent="0.25">
      <c r="A1181" s="1">
        <v>45323</v>
      </c>
      <c r="B1181" t="s">
        <v>7</v>
      </c>
      <c r="C1181" t="s">
        <v>1282</v>
      </c>
      <c r="D1181" t="s">
        <v>1286</v>
      </c>
      <c r="E1181">
        <v>9947787.4399999995</v>
      </c>
      <c r="F1181">
        <v>8579084.8399999999</v>
      </c>
      <c r="G1181">
        <v>2992955.45</v>
      </c>
    </row>
    <row r="1182" spans="1:7" x14ac:dyDescent="0.25">
      <c r="A1182" s="1">
        <v>45444</v>
      </c>
      <c r="B1182" t="s">
        <v>7</v>
      </c>
      <c r="C1182" t="s">
        <v>1282</v>
      </c>
      <c r="D1182" t="s">
        <v>1287</v>
      </c>
      <c r="E1182">
        <v>13781481.060000001</v>
      </c>
      <c r="F1182">
        <v>11010077.07</v>
      </c>
      <c r="G1182">
        <v>418303.45</v>
      </c>
    </row>
    <row r="1183" spans="1:7" x14ac:dyDescent="0.25">
      <c r="A1183" s="1">
        <v>45597</v>
      </c>
      <c r="B1183" t="s">
        <v>7</v>
      </c>
      <c r="C1183" t="s">
        <v>1282</v>
      </c>
      <c r="D1183" t="s">
        <v>1288</v>
      </c>
      <c r="E1183">
        <v>15393005.220000001</v>
      </c>
      <c r="F1183">
        <v>12115610.4</v>
      </c>
      <c r="G1183">
        <v>196639.75</v>
      </c>
    </row>
    <row r="1184" spans="1:7" x14ac:dyDescent="0.25">
      <c r="A1184" s="1">
        <v>45474</v>
      </c>
      <c r="B1184" t="s">
        <v>7</v>
      </c>
      <c r="C1184" t="s">
        <v>1282</v>
      </c>
      <c r="D1184" t="s">
        <v>1289</v>
      </c>
      <c r="E1184">
        <v>10645580.93</v>
      </c>
      <c r="F1184">
        <v>13667074.5</v>
      </c>
      <c r="G1184">
        <v>537174.02</v>
      </c>
    </row>
    <row r="1185" spans="1:7" x14ac:dyDescent="0.25">
      <c r="A1185" s="1">
        <v>45352</v>
      </c>
      <c r="B1185" t="s">
        <v>7</v>
      </c>
      <c r="C1185" t="s">
        <v>1282</v>
      </c>
      <c r="D1185" t="s">
        <v>1290</v>
      </c>
      <c r="E1185">
        <v>10009398.560000001</v>
      </c>
      <c r="F1185">
        <v>9808663.2599999998</v>
      </c>
      <c r="G1185">
        <v>1828920.69</v>
      </c>
    </row>
    <row r="1186" spans="1:7" x14ac:dyDescent="0.25">
      <c r="A1186" s="1">
        <v>45627</v>
      </c>
      <c r="B1186" t="s">
        <v>7</v>
      </c>
      <c r="C1186" t="s">
        <v>1282</v>
      </c>
      <c r="D1186" t="s">
        <v>1291</v>
      </c>
      <c r="E1186">
        <v>16024854.619999999</v>
      </c>
      <c r="F1186">
        <v>16120776.27</v>
      </c>
      <c r="G1186">
        <v>710106.55</v>
      </c>
    </row>
    <row r="1187" spans="1:7" x14ac:dyDescent="0.25">
      <c r="A1187" s="1">
        <v>45536</v>
      </c>
      <c r="B1187" t="s">
        <v>7</v>
      </c>
      <c r="C1187" t="s">
        <v>1282</v>
      </c>
      <c r="D1187" t="s">
        <v>1292</v>
      </c>
      <c r="E1187">
        <v>11329826.27</v>
      </c>
      <c r="F1187">
        <v>11046248.66</v>
      </c>
      <c r="G1187">
        <v>119656.58</v>
      </c>
    </row>
    <row r="1188" spans="1:7" x14ac:dyDescent="0.25">
      <c r="A1188" s="1">
        <v>45413</v>
      </c>
      <c r="B1188" t="s">
        <v>7</v>
      </c>
      <c r="C1188" t="s">
        <v>1282</v>
      </c>
      <c r="D1188" t="s">
        <v>1293</v>
      </c>
      <c r="E1188">
        <v>11281780.380000001</v>
      </c>
      <c r="F1188">
        <v>10918293.029999999</v>
      </c>
      <c r="G1188">
        <v>720338.07</v>
      </c>
    </row>
    <row r="1189" spans="1:7" x14ac:dyDescent="0.25">
      <c r="A1189" s="1">
        <v>45566</v>
      </c>
      <c r="B1189" t="s">
        <v>7</v>
      </c>
      <c r="C1189" t="s">
        <v>1282</v>
      </c>
      <c r="D1189" t="s">
        <v>1294</v>
      </c>
      <c r="E1189">
        <v>12698275.15</v>
      </c>
      <c r="F1189">
        <v>13338572.24</v>
      </c>
      <c r="G1189">
        <v>235762.05</v>
      </c>
    </row>
    <row r="1190" spans="1:7" x14ac:dyDescent="0.25">
      <c r="A1190" s="1">
        <v>45323</v>
      </c>
      <c r="B1190" t="s">
        <v>7</v>
      </c>
      <c r="C1190" t="s">
        <v>1295</v>
      </c>
      <c r="D1190" t="s">
        <v>1296</v>
      </c>
      <c r="E1190">
        <v>18240527.670000002</v>
      </c>
      <c r="F1190">
        <v>14642217.18</v>
      </c>
      <c r="G1190">
        <v>3031682.8</v>
      </c>
    </row>
    <row r="1191" spans="1:7" x14ac:dyDescent="0.25">
      <c r="A1191" s="1">
        <v>45383</v>
      </c>
      <c r="B1191" t="s">
        <v>7</v>
      </c>
      <c r="C1191" t="s">
        <v>1295</v>
      </c>
      <c r="D1191" t="s">
        <v>1297</v>
      </c>
      <c r="E1191">
        <v>20453015.09</v>
      </c>
      <c r="F1191">
        <v>19953469.510000002</v>
      </c>
      <c r="G1191">
        <v>1157190.6599999999</v>
      </c>
    </row>
    <row r="1192" spans="1:7" x14ac:dyDescent="0.25">
      <c r="A1192" s="1">
        <v>45352</v>
      </c>
      <c r="B1192" t="s">
        <v>7</v>
      </c>
      <c r="C1192" t="s">
        <v>1295</v>
      </c>
      <c r="D1192" t="s">
        <v>1298</v>
      </c>
      <c r="E1192">
        <v>16772383.810000001</v>
      </c>
      <c r="F1192">
        <v>18738810.969999999</v>
      </c>
      <c r="G1192">
        <v>2102952.36</v>
      </c>
    </row>
    <row r="1193" spans="1:7" x14ac:dyDescent="0.25">
      <c r="A1193" s="1">
        <v>45474</v>
      </c>
      <c r="B1193" t="s">
        <v>7</v>
      </c>
      <c r="C1193" t="s">
        <v>1295</v>
      </c>
      <c r="D1193" t="s">
        <v>1299</v>
      </c>
      <c r="E1193">
        <v>21499432.449999999</v>
      </c>
      <c r="F1193">
        <v>27926867.859999999</v>
      </c>
      <c r="G1193">
        <v>727942.24</v>
      </c>
    </row>
    <row r="1194" spans="1:7" x14ac:dyDescent="0.25">
      <c r="A1194" s="1">
        <v>45444</v>
      </c>
      <c r="B1194" t="s">
        <v>7</v>
      </c>
      <c r="C1194" t="s">
        <v>1295</v>
      </c>
      <c r="D1194" t="s">
        <v>1300</v>
      </c>
      <c r="E1194">
        <v>27533978.829999998</v>
      </c>
      <c r="F1194">
        <v>20426293.5</v>
      </c>
      <c r="G1194">
        <v>1263430.82</v>
      </c>
    </row>
    <row r="1195" spans="1:7" x14ac:dyDescent="0.25">
      <c r="A1195" s="1">
        <v>45597</v>
      </c>
      <c r="B1195" t="s">
        <v>7</v>
      </c>
      <c r="C1195" t="s">
        <v>1295</v>
      </c>
      <c r="D1195" t="s">
        <v>1301</v>
      </c>
      <c r="E1195">
        <v>31374467.550000001</v>
      </c>
      <c r="F1195">
        <v>26378402.739999998</v>
      </c>
      <c r="G1195">
        <v>352809.63</v>
      </c>
    </row>
    <row r="1196" spans="1:7" x14ac:dyDescent="0.25">
      <c r="A1196" s="1">
        <v>45566</v>
      </c>
      <c r="B1196" t="s">
        <v>7</v>
      </c>
      <c r="C1196" t="s">
        <v>1295</v>
      </c>
      <c r="D1196" t="s">
        <v>1302</v>
      </c>
      <c r="E1196">
        <v>23062154.559999999</v>
      </c>
      <c r="F1196">
        <v>23167702.91</v>
      </c>
      <c r="G1196">
        <v>252509.29</v>
      </c>
    </row>
    <row r="1197" spans="1:7" x14ac:dyDescent="0.25">
      <c r="A1197" s="1">
        <v>45505</v>
      </c>
      <c r="B1197" t="s">
        <v>7</v>
      </c>
      <c r="C1197" t="s">
        <v>1295</v>
      </c>
      <c r="D1197" t="s">
        <v>1303</v>
      </c>
      <c r="E1197">
        <v>21131838.920000002</v>
      </c>
      <c r="F1197">
        <v>20864821.629999999</v>
      </c>
      <c r="G1197">
        <v>609560.01</v>
      </c>
    </row>
    <row r="1198" spans="1:7" x14ac:dyDescent="0.25">
      <c r="A1198" s="1">
        <v>45627</v>
      </c>
      <c r="B1198" t="s">
        <v>7</v>
      </c>
      <c r="C1198" t="s">
        <v>1295</v>
      </c>
      <c r="D1198" t="s">
        <v>1304</v>
      </c>
      <c r="E1198">
        <v>29661604.190000001</v>
      </c>
      <c r="F1198">
        <v>27780784.73</v>
      </c>
      <c r="G1198">
        <v>520061.46</v>
      </c>
    </row>
    <row r="1199" spans="1:7" x14ac:dyDescent="0.25">
      <c r="A1199" s="1">
        <v>45413</v>
      </c>
      <c r="B1199" t="s">
        <v>7</v>
      </c>
      <c r="C1199" t="s">
        <v>1295</v>
      </c>
      <c r="D1199" t="s">
        <v>1305</v>
      </c>
      <c r="E1199">
        <v>20551374.469999999</v>
      </c>
      <c r="F1199">
        <v>19506098.66</v>
      </c>
      <c r="G1199">
        <v>1449078.11</v>
      </c>
    </row>
    <row r="1200" spans="1:7" x14ac:dyDescent="0.25">
      <c r="A1200" s="1">
        <v>45536</v>
      </c>
      <c r="B1200" t="s">
        <v>7</v>
      </c>
      <c r="C1200" t="s">
        <v>1295</v>
      </c>
      <c r="D1200" t="s">
        <v>1306</v>
      </c>
      <c r="E1200">
        <v>20451998.75</v>
      </c>
      <c r="F1200">
        <v>21362761.850000001</v>
      </c>
      <c r="G1200">
        <v>383766.37</v>
      </c>
    </row>
    <row r="1201" spans="1:7" x14ac:dyDescent="0.25">
      <c r="A1201" s="1">
        <v>45292</v>
      </c>
      <c r="B1201" t="s">
        <v>7</v>
      </c>
      <c r="C1201" t="s">
        <v>1295</v>
      </c>
      <c r="D1201" t="s">
        <v>1307</v>
      </c>
      <c r="E1201">
        <v>16268514.07</v>
      </c>
      <c r="F1201">
        <v>3797440.67</v>
      </c>
      <c r="G1201">
        <v>20823500.18</v>
      </c>
    </row>
    <row r="1202" spans="1:7" x14ac:dyDescent="0.25">
      <c r="A1202" s="1">
        <v>45505</v>
      </c>
      <c r="B1202" t="s">
        <v>7</v>
      </c>
      <c r="C1202" t="s">
        <v>1308</v>
      </c>
      <c r="D1202" t="s">
        <v>1309</v>
      </c>
      <c r="E1202">
        <v>171222258.25999999</v>
      </c>
      <c r="F1202">
        <v>170454676.69999999</v>
      </c>
      <c r="G1202">
        <v>1455230.31</v>
      </c>
    </row>
    <row r="1203" spans="1:7" x14ac:dyDescent="0.25">
      <c r="A1203" s="1">
        <v>45383</v>
      </c>
      <c r="B1203" t="s">
        <v>7</v>
      </c>
      <c r="C1203" t="s">
        <v>1308</v>
      </c>
      <c r="D1203" t="s">
        <v>1310</v>
      </c>
      <c r="E1203">
        <v>161138037.41</v>
      </c>
      <c r="F1203">
        <v>160864639.75</v>
      </c>
      <c r="G1203">
        <v>5351594.0199999996</v>
      </c>
    </row>
    <row r="1204" spans="1:7" x14ac:dyDescent="0.25">
      <c r="A1204" s="1">
        <v>45536</v>
      </c>
      <c r="B1204" t="s">
        <v>7</v>
      </c>
      <c r="C1204" t="s">
        <v>1308</v>
      </c>
      <c r="D1204" t="s">
        <v>1311</v>
      </c>
      <c r="E1204">
        <v>167561668.81</v>
      </c>
      <c r="F1204">
        <v>168268763.80000001</v>
      </c>
      <c r="G1204">
        <v>2257828.2599999998</v>
      </c>
    </row>
    <row r="1205" spans="1:7" x14ac:dyDescent="0.25">
      <c r="A1205" s="1">
        <v>45566</v>
      </c>
      <c r="B1205" t="s">
        <v>7</v>
      </c>
      <c r="C1205" t="s">
        <v>1308</v>
      </c>
      <c r="D1205" t="s">
        <v>1312</v>
      </c>
      <c r="E1205">
        <v>184528276.44</v>
      </c>
      <c r="F1205">
        <v>180960950.34999999</v>
      </c>
      <c r="G1205">
        <v>473005.33</v>
      </c>
    </row>
    <row r="1206" spans="1:7" x14ac:dyDescent="0.25">
      <c r="A1206" s="1">
        <v>45352</v>
      </c>
      <c r="B1206" t="s">
        <v>7</v>
      </c>
      <c r="C1206" t="s">
        <v>1308</v>
      </c>
      <c r="D1206" t="s">
        <v>1313</v>
      </c>
      <c r="E1206">
        <v>161165322.78999999</v>
      </c>
      <c r="F1206">
        <v>154414204.25</v>
      </c>
      <c r="G1206">
        <v>17565944.289999999</v>
      </c>
    </row>
    <row r="1207" spans="1:7" x14ac:dyDescent="0.25">
      <c r="A1207" s="1">
        <v>45474</v>
      </c>
      <c r="B1207" t="s">
        <v>7</v>
      </c>
      <c r="C1207" t="s">
        <v>1308</v>
      </c>
      <c r="D1207" t="s">
        <v>1314</v>
      </c>
      <c r="E1207">
        <v>172082345.43000001</v>
      </c>
      <c r="F1207">
        <v>221489889.58000001</v>
      </c>
      <c r="G1207">
        <v>5070632.3499999996</v>
      </c>
    </row>
    <row r="1208" spans="1:7" x14ac:dyDescent="0.25">
      <c r="A1208" s="1">
        <v>45444</v>
      </c>
      <c r="B1208" t="s">
        <v>7</v>
      </c>
      <c r="C1208" t="s">
        <v>1308</v>
      </c>
      <c r="D1208" t="s">
        <v>1315</v>
      </c>
      <c r="E1208">
        <v>215899629.22</v>
      </c>
      <c r="F1208">
        <v>174908229.72</v>
      </c>
      <c r="G1208">
        <v>4923141.0999999996</v>
      </c>
    </row>
    <row r="1209" spans="1:7" x14ac:dyDescent="0.25">
      <c r="A1209" s="1">
        <v>45292</v>
      </c>
      <c r="B1209" t="s">
        <v>7</v>
      </c>
      <c r="C1209" t="s">
        <v>1308</v>
      </c>
      <c r="D1209" t="s">
        <v>1316</v>
      </c>
      <c r="E1209">
        <v>150765123.37</v>
      </c>
      <c r="F1209">
        <v>30534373.07</v>
      </c>
      <c r="G1209">
        <v>163395233.69999999</v>
      </c>
    </row>
    <row r="1210" spans="1:7" x14ac:dyDescent="0.25">
      <c r="A1210" s="1">
        <v>45323</v>
      </c>
      <c r="B1210" t="s">
        <v>7</v>
      </c>
      <c r="C1210" t="s">
        <v>1308</v>
      </c>
      <c r="D1210" t="s">
        <v>1317</v>
      </c>
      <c r="E1210">
        <v>150574292.78999999</v>
      </c>
      <c r="F1210">
        <v>136100805.99000001</v>
      </c>
      <c r="G1210">
        <v>35998210.350000001</v>
      </c>
    </row>
    <row r="1211" spans="1:7" x14ac:dyDescent="0.25">
      <c r="A1211" s="1">
        <v>45627</v>
      </c>
      <c r="B1211" t="s">
        <v>7</v>
      </c>
      <c r="C1211" t="s">
        <v>1308</v>
      </c>
      <c r="D1211" t="s">
        <v>1318</v>
      </c>
      <c r="E1211">
        <v>206580171.99000001</v>
      </c>
      <c r="F1211">
        <v>223002821.13</v>
      </c>
      <c r="G1211">
        <v>448737.52</v>
      </c>
    </row>
    <row r="1212" spans="1:7" x14ac:dyDescent="0.25">
      <c r="A1212" s="1">
        <v>45413</v>
      </c>
      <c r="B1212" t="s">
        <v>7</v>
      </c>
      <c r="C1212" t="s">
        <v>1308</v>
      </c>
      <c r="D1212" t="s">
        <v>1319</v>
      </c>
      <c r="E1212">
        <v>174112204</v>
      </c>
      <c r="F1212">
        <v>163754113.81999999</v>
      </c>
      <c r="G1212">
        <v>8379877.9100000001</v>
      </c>
    </row>
    <row r="1213" spans="1:7" x14ac:dyDescent="0.25">
      <c r="A1213" s="1">
        <v>45597</v>
      </c>
      <c r="B1213" t="s">
        <v>7</v>
      </c>
      <c r="C1213" t="s">
        <v>1308</v>
      </c>
      <c r="D1213" t="s">
        <v>1320</v>
      </c>
      <c r="E1213">
        <v>259772420.72</v>
      </c>
      <c r="F1213">
        <v>207494849.47999999</v>
      </c>
      <c r="G1213">
        <v>1137025.6200000001</v>
      </c>
    </row>
    <row r="1214" spans="1:7" x14ac:dyDescent="0.25">
      <c r="A1214" s="1">
        <v>45444</v>
      </c>
      <c r="B1214" t="s">
        <v>7</v>
      </c>
      <c r="C1214" t="s">
        <v>1321</v>
      </c>
      <c r="D1214" t="s">
        <v>1322</v>
      </c>
      <c r="E1214">
        <v>195587354.30000001</v>
      </c>
      <c r="F1214">
        <v>163652195.11000001</v>
      </c>
      <c r="G1214">
        <v>3765938.91</v>
      </c>
    </row>
    <row r="1215" spans="1:7" x14ac:dyDescent="0.25">
      <c r="A1215" s="1">
        <v>45505</v>
      </c>
      <c r="B1215" t="s">
        <v>7</v>
      </c>
      <c r="C1215" t="s">
        <v>1321</v>
      </c>
      <c r="D1215" t="s">
        <v>1323</v>
      </c>
      <c r="E1215">
        <v>149285773.63</v>
      </c>
      <c r="F1215">
        <v>148500236.75999999</v>
      </c>
      <c r="G1215">
        <v>2462784.0499999998</v>
      </c>
    </row>
    <row r="1216" spans="1:7" x14ac:dyDescent="0.25">
      <c r="A1216" s="1">
        <v>45566</v>
      </c>
      <c r="B1216" t="s">
        <v>7</v>
      </c>
      <c r="C1216" t="s">
        <v>1321</v>
      </c>
      <c r="D1216" t="s">
        <v>1324</v>
      </c>
      <c r="E1216">
        <v>139360334.41</v>
      </c>
      <c r="F1216">
        <v>139676839.06999999</v>
      </c>
      <c r="G1216">
        <v>5188728.04</v>
      </c>
    </row>
    <row r="1217" spans="1:7" x14ac:dyDescent="0.25">
      <c r="A1217" s="1">
        <v>45383</v>
      </c>
      <c r="B1217" t="s">
        <v>7</v>
      </c>
      <c r="C1217" t="s">
        <v>1321</v>
      </c>
      <c r="D1217" t="s">
        <v>1325</v>
      </c>
      <c r="E1217">
        <v>147729148.00999999</v>
      </c>
      <c r="F1217">
        <v>137714646.56999999</v>
      </c>
      <c r="G1217">
        <v>5962156.7800000003</v>
      </c>
    </row>
    <row r="1218" spans="1:7" x14ac:dyDescent="0.25">
      <c r="A1218" s="1">
        <v>45474</v>
      </c>
      <c r="B1218" t="s">
        <v>7</v>
      </c>
      <c r="C1218" t="s">
        <v>1321</v>
      </c>
      <c r="D1218" t="s">
        <v>1326</v>
      </c>
      <c r="E1218">
        <v>147728500.58000001</v>
      </c>
      <c r="F1218">
        <v>177378618.52000001</v>
      </c>
      <c r="G1218">
        <v>5620899.5300000003</v>
      </c>
    </row>
    <row r="1219" spans="1:7" x14ac:dyDescent="0.25">
      <c r="A1219" s="1">
        <v>45352</v>
      </c>
      <c r="B1219" t="s">
        <v>7</v>
      </c>
      <c r="C1219" t="s">
        <v>1321</v>
      </c>
      <c r="D1219" t="s">
        <v>1327</v>
      </c>
      <c r="E1219">
        <v>130700179.06</v>
      </c>
      <c r="F1219">
        <v>136226456.97</v>
      </c>
      <c r="G1219">
        <v>7747513.6200000001</v>
      </c>
    </row>
    <row r="1220" spans="1:7" x14ac:dyDescent="0.25">
      <c r="A1220" s="1">
        <v>45292</v>
      </c>
      <c r="B1220" t="s">
        <v>7</v>
      </c>
      <c r="C1220" t="s">
        <v>1321</v>
      </c>
      <c r="D1220" t="s">
        <v>1328</v>
      </c>
      <c r="E1220">
        <v>132782345.2</v>
      </c>
      <c r="F1220">
        <v>24137785.170000002</v>
      </c>
      <c r="G1220">
        <v>130552377.02</v>
      </c>
    </row>
    <row r="1221" spans="1:7" x14ac:dyDescent="0.25">
      <c r="A1221" s="1">
        <v>45413</v>
      </c>
      <c r="B1221" t="s">
        <v>7</v>
      </c>
      <c r="C1221" t="s">
        <v>1321</v>
      </c>
      <c r="D1221" t="s">
        <v>1329</v>
      </c>
      <c r="E1221">
        <v>153937642.16999999</v>
      </c>
      <c r="F1221">
        <v>141130388.80000001</v>
      </c>
      <c r="G1221">
        <v>2869086.02</v>
      </c>
    </row>
    <row r="1222" spans="1:7" x14ac:dyDescent="0.25">
      <c r="A1222" s="1">
        <v>45536</v>
      </c>
      <c r="B1222" t="s">
        <v>7</v>
      </c>
      <c r="C1222" t="s">
        <v>1321</v>
      </c>
      <c r="D1222" t="s">
        <v>1330</v>
      </c>
      <c r="E1222">
        <v>138392903.78999999</v>
      </c>
      <c r="F1222">
        <v>144533308.06999999</v>
      </c>
      <c r="G1222">
        <v>2232454.69</v>
      </c>
    </row>
    <row r="1223" spans="1:7" x14ac:dyDescent="0.25">
      <c r="A1223" s="1">
        <v>45597</v>
      </c>
      <c r="B1223" t="s">
        <v>7</v>
      </c>
      <c r="C1223" t="s">
        <v>1321</v>
      </c>
      <c r="D1223" t="s">
        <v>1331</v>
      </c>
      <c r="E1223">
        <v>217787614.58000001</v>
      </c>
      <c r="F1223">
        <v>163521444.61000001</v>
      </c>
      <c r="G1223">
        <v>1110096.5</v>
      </c>
    </row>
    <row r="1224" spans="1:7" x14ac:dyDescent="0.25">
      <c r="A1224" s="1">
        <v>45627</v>
      </c>
      <c r="B1224" t="s">
        <v>7</v>
      </c>
      <c r="C1224" t="s">
        <v>1321</v>
      </c>
      <c r="D1224" t="s">
        <v>1332</v>
      </c>
      <c r="E1224">
        <v>169392710.81999999</v>
      </c>
      <c r="F1224">
        <v>187710920.91</v>
      </c>
      <c r="G1224">
        <v>912678.61</v>
      </c>
    </row>
    <row r="1225" spans="1:7" x14ac:dyDescent="0.25">
      <c r="A1225" s="1">
        <v>45323</v>
      </c>
      <c r="B1225" t="s">
        <v>7</v>
      </c>
      <c r="C1225" t="s">
        <v>1321</v>
      </c>
      <c r="D1225" t="s">
        <v>1333</v>
      </c>
      <c r="E1225">
        <v>136315784.03999999</v>
      </c>
      <c r="F1225">
        <v>137602739.59</v>
      </c>
      <c r="G1225">
        <v>12101178.41</v>
      </c>
    </row>
    <row r="1226" spans="1:7" x14ac:dyDescent="0.25">
      <c r="A1226" s="1">
        <v>45536</v>
      </c>
      <c r="B1226" t="s">
        <v>7</v>
      </c>
      <c r="C1226" t="s">
        <v>1334</v>
      </c>
      <c r="D1226" t="s">
        <v>1335</v>
      </c>
      <c r="E1226">
        <v>37426790.390000001</v>
      </c>
      <c r="F1226">
        <v>34594959.729999997</v>
      </c>
      <c r="G1226">
        <v>546863.39</v>
      </c>
    </row>
    <row r="1227" spans="1:7" x14ac:dyDescent="0.25">
      <c r="A1227" s="1">
        <v>45474</v>
      </c>
      <c r="B1227" t="s">
        <v>7</v>
      </c>
      <c r="C1227" t="s">
        <v>1334</v>
      </c>
      <c r="D1227" t="s">
        <v>1336</v>
      </c>
      <c r="E1227">
        <v>32789579.760000002</v>
      </c>
      <c r="F1227">
        <v>38272443.969999999</v>
      </c>
      <c r="G1227">
        <v>730673.41</v>
      </c>
    </row>
    <row r="1228" spans="1:7" x14ac:dyDescent="0.25">
      <c r="A1228" s="1">
        <v>45413</v>
      </c>
      <c r="B1228" t="s">
        <v>7</v>
      </c>
      <c r="C1228" t="s">
        <v>1334</v>
      </c>
      <c r="D1228" t="s">
        <v>1337</v>
      </c>
      <c r="E1228">
        <v>33858314.359999999</v>
      </c>
      <c r="F1228">
        <v>31980383.280000001</v>
      </c>
      <c r="G1228">
        <v>3954402.69</v>
      </c>
    </row>
    <row r="1229" spans="1:7" x14ac:dyDescent="0.25">
      <c r="A1229" s="1">
        <v>45383</v>
      </c>
      <c r="B1229" t="s">
        <v>7</v>
      </c>
      <c r="C1229" t="s">
        <v>1334</v>
      </c>
      <c r="D1229" t="s">
        <v>1338</v>
      </c>
      <c r="E1229">
        <v>30448199.199999999</v>
      </c>
      <c r="F1229">
        <v>29958042.640000001</v>
      </c>
      <c r="G1229">
        <v>11893046.6</v>
      </c>
    </row>
    <row r="1230" spans="1:7" x14ac:dyDescent="0.25">
      <c r="A1230" s="1">
        <v>45292</v>
      </c>
      <c r="B1230" t="s">
        <v>7</v>
      </c>
      <c r="C1230" t="s">
        <v>1334</v>
      </c>
      <c r="D1230" t="s">
        <v>1339</v>
      </c>
      <c r="E1230">
        <v>27693884.75</v>
      </c>
      <c r="F1230">
        <v>5750872.4100000001</v>
      </c>
      <c r="G1230">
        <v>26167390.600000001</v>
      </c>
    </row>
    <row r="1231" spans="1:7" x14ac:dyDescent="0.25">
      <c r="A1231" s="1">
        <v>45505</v>
      </c>
      <c r="B1231" t="s">
        <v>7</v>
      </c>
      <c r="C1231" t="s">
        <v>1334</v>
      </c>
      <c r="D1231" t="s">
        <v>1340</v>
      </c>
      <c r="E1231">
        <v>32458805.690000001</v>
      </c>
      <c r="F1231">
        <v>31992652.390000001</v>
      </c>
      <c r="G1231">
        <v>2037544.99</v>
      </c>
    </row>
    <row r="1232" spans="1:7" x14ac:dyDescent="0.25">
      <c r="A1232" s="1">
        <v>45444</v>
      </c>
      <c r="B1232" t="s">
        <v>7</v>
      </c>
      <c r="C1232" t="s">
        <v>1334</v>
      </c>
      <c r="D1232" t="s">
        <v>1341</v>
      </c>
      <c r="E1232">
        <v>40685389.200000003</v>
      </c>
      <c r="F1232">
        <v>34833976.07</v>
      </c>
      <c r="G1232">
        <v>769460.05</v>
      </c>
    </row>
    <row r="1233" spans="1:7" x14ac:dyDescent="0.25">
      <c r="A1233" s="1">
        <v>45566</v>
      </c>
      <c r="B1233" t="s">
        <v>7</v>
      </c>
      <c r="C1233" t="s">
        <v>1334</v>
      </c>
      <c r="D1233" t="s">
        <v>1342</v>
      </c>
      <c r="E1233">
        <v>34123944.640000001</v>
      </c>
      <c r="F1233">
        <v>34619750.759999998</v>
      </c>
      <c r="G1233">
        <v>133321.28</v>
      </c>
    </row>
    <row r="1234" spans="1:7" x14ac:dyDescent="0.25">
      <c r="A1234" s="1">
        <v>45352</v>
      </c>
      <c r="B1234" t="s">
        <v>7</v>
      </c>
      <c r="C1234" t="s">
        <v>1334</v>
      </c>
      <c r="D1234" t="s">
        <v>1343</v>
      </c>
      <c r="E1234">
        <v>28273824.469999999</v>
      </c>
      <c r="F1234">
        <v>28001981.100000001</v>
      </c>
      <c r="G1234">
        <v>4344387.47</v>
      </c>
    </row>
    <row r="1235" spans="1:7" x14ac:dyDescent="0.25">
      <c r="A1235" s="1">
        <v>45597</v>
      </c>
      <c r="B1235" t="s">
        <v>7</v>
      </c>
      <c r="C1235" t="s">
        <v>1334</v>
      </c>
      <c r="D1235" t="s">
        <v>1344</v>
      </c>
      <c r="E1235">
        <v>55252993.130000003</v>
      </c>
      <c r="F1235">
        <v>43872301.609999999</v>
      </c>
      <c r="G1235">
        <v>745784.99</v>
      </c>
    </row>
    <row r="1236" spans="1:7" x14ac:dyDescent="0.25">
      <c r="A1236" s="1">
        <v>45323</v>
      </c>
      <c r="B1236" t="s">
        <v>7</v>
      </c>
      <c r="C1236" t="s">
        <v>1334</v>
      </c>
      <c r="D1236" t="s">
        <v>1345</v>
      </c>
      <c r="E1236">
        <v>26984544.850000001</v>
      </c>
      <c r="F1236">
        <v>24647593.25</v>
      </c>
      <c r="G1236">
        <v>6756786.0700000003</v>
      </c>
    </row>
    <row r="1237" spans="1:7" x14ac:dyDescent="0.25">
      <c r="A1237" s="1">
        <v>45627</v>
      </c>
      <c r="B1237" t="s">
        <v>7</v>
      </c>
      <c r="C1237" t="s">
        <v>1334</v>
      </c>
      <c r="D1237" t="s">
        <v>1346</v>
      </c>
      <c r="E1237">
        <v>44535405</v>
      </c>
      <c r="F1237">
        <v>48612800.079999998</v>
      </c>
      <c r="G1237">
        <v>713120</v>
      </c>
    </row>
    <row r="1238" spans="1:7" x14ac:dyDescent="0.25">
      <c r="A1238" s="1">
        <v>45383</v>
      </c>
      <c r="B1238" t="s">
        <v>7</v>
      </c>
      <c r="C1238" t="s">
        <v>1347</v>
      </c>
      <c r="D1238" t="s">
        <v>1348</v>
      </c>
      <c r="E1238">
        <v>342408952.26999998</v>
      </c>
      <c r="F1238">
        <v>337306672.22000003</v>
      </c>
      <c r="G1238">
        <v>8060934.3099999996</v>
      </c>
    </row>
    <row r="1239" spans="1:7" x14ac:dyDescent="0.25">
      <c r="A1239" s="1">
        <v>45536</v>
      </c>
      <c r="B1239" t="s">
        <v>7</v>
      </c>
      <c r="C1239" t="s">
        <v>1347</v>
      </c>
      <c r="D1239" t="s">
        <v>1349</v>
      </c>
      <c r="E1239">
        <v>340651672.12</v>
      </c>
      <c r="F1239">
        <v>343865288.81</v>
      </c>
      <c r="G1239">
        <v>1066172.68</v>
      </c>
    </row>
    <row r="1240" spans="1:7" x14ac:dyDescent="0.25">
      <c r="A1240" s="1">
        <v>45566</v>
      </c>
      <c r="B1240" t="s">
        <v>7</v>
      </c>
      <c r="C1240" t="s">
        <v>1347</v>
      </c>
      <c r="D1240" t="s">
        <v>1350</v>
      </c>
      <c r="E1240">
        <v>345179428.39999998</v>
      </c>
      <c r="F1240">
        <v>345067846.07999998</v>
      </c>
      <c r="G1240">
        <v>3686540.87</v>
      </c>
    </row>
    <row r="1241" spans="1:7" x14ac:dyDescent="0.25">
      <c r="A1241" s="1">
        <v>45627</v>
      </c>
      <c r="B1241" t="s">
        <v>7</v>
      </c>
      <c r="C1241" t="s">
        <v>1347</v>
      </c>
      <c r="D1241" t="s">
        <v>1351</v>
      </c>
      <c r="E1241">
        <v>418838706.07999998</v>
      </c>
      <c r="F1241">
        <v>475392800.44999999</v>
      </c>
      <c r="G1241">
        <v>1418077.19</v>
      </c>
    </row>
    <row r="1242" spans="1:7" x14ac:dyDescent="0.25">
      <c r="A1242" s="1">
        <v>45352</v>
      </c>
      <c r="B1242" t="s">
        <v>7</v>
      </c>
      <c r="C1242" t="s">
        <v>1347</v>
      </c>
      <c r="D1242" t="s">
        <v>1352</v>
      </c>
      <c r="E1242">
        <v>332318271.49000001</v>
      </c>
      <c r="F1242">
        <v>328664241.44</v>
      </c>
      <c r="G1242">
        <v>16415371.32</v>
      </c>
    </row>
    <row r="1243" spans="1:7" x14ac:dyDescent="0.25">
      <c r="A1243" s="1">
        <v>45474</v>
      </c>
      <c r="B1243" t="s">
        <v>7</v>
      </c>
      <c r="C1243" t="s">
        <v>1347</v>
      </c>
      <c r="D1243" t="s">
        <v>1353</v>
      </c>
      <c r="E1243">
        <v>361149540.80000001</v>
      </c>
      <c r="F1243">
        <v>458977198.58999997</v>
      </c>
      <c r="G1243">
        <v>4840177.42</v>
      </c>
    </row>
    <row r="1244" spans="1:7" x14ac:dyDescent="0.25">
      <c r="A1244" s="1">
        <v>45505</v>
      </c>
      <c r="B1244" t="s">
        <v>7</v>
      </c>
      <c r="C1244" t="s">
        <v>1347</v>
      </c>
      <c r="D1244" t="s">
        <v>1354</v>
      </c>
      <c r="E1244">
        <v>353738863.04000002</v>
      </c>
      <c r="F1244">
        <v>345234656.04000002</v>
      </c>
      <c r="G1244">
        <v>1118191.8500000001</v>
      </c>
    </row>
    <row r="1245" spans="1:7" x14ac:dyDescent="0.25">
      <c r="A1245" s="1">
        <v>45444</v>
      </c>
      <c r="B1245" t="s">
        <v>7</v>
      </c>
      <c r="C1245" t="s">
        <v>1347</v>
      </c>
      <c r="D1245" t="s">
        <v>1355</v>
      </c>
      <c r="E1245">
        <v>445459801.64999998</v>
      </c>
      <c r="F1245">
        <v>358816965.85000002</v>
      </c>
      <c r="G1245">
        <v>1797103.27</v>
      </c>
    </row>
    <row r="1246" spans="1:7" x14ac:dyDescent="0.25">
      <c r="A1246" s="1">
        <v>45597</v>
      </c>
      <c r="B1246" t="s">
        <v>7</v>
      </c>
      <c r="C1246" t="s">
        <v>1347</v>
      </c>
      <c r="D1246" t="s">
        <v>1356</v>
      </c>
      <c r="E1246">
        <v>530439402.89999998</v>
      </c>
      <c r="F1246">
        <v>411120099.39999998</v>
      </c>
      <c r="G1246">
        <v>852028.95</v>
      </c>
    </row>
    <row r="1247" spans="1:7" x14ac:dyDescent="0.25">
      <c r="A1247" s="1">
        <v>45413</v>
      </c>
      <c r="B1247" t="s">
        <v>7</v>
      </c>
      <c r="C1247" t="s">
        <v>1347</v>
      </c>
      <c r="D1247" t="s">
        <v>1357</v>
      </c>
      <c r="E1247">
        <v>377049113.83999997</v>
      </c>
      <c r="F1247">
        <v>357237830.55000001</v>
      </c>
      <c r="G1247">
        <v>14283854.51</v>
      </c>
    </row>
    <row r="1248" spans="1:7" x14ac:dyDescent="0.25">
      <c r="A1248" s="1">
        <v>45292</v>
      </c>
      <c r="B1248" t="s">
        <v>7</v>
      </c>
      <c r="C1248" t="s">
        <v>1347</v>
      </c>
      <c r="D1248" t="s">
        <v>1358</v>
      </c>
      <c r="E1248">
        <v>340200348.63999999</v>
      </c>
      <c r="F1248">
        <v>71176817.819999993</v>
      </c>
      <c r="G1248">
        <v>339646368.63999999</v>
      </c>
    </row>
    <row r="1249" spans="1:7" x14ac:dyDescent="0.25">
      <c r="A1249" s="1">
        <v>45323</v>
      </c>
      <c r="B1249" t="s">
        <v>7</v>
      </c>
      <c r="C1249" t="s">
        <v>1347</v>
      </c>
      <c r="D1249" t="s">
        <v>1359</v>
      </c>
      <c r="E1249">
        <v>325736340.62</v>
      </c>
      <c r="F1249">
        <v>301251699.82999998</v>
      </c>
      <c r="G1249">
        <v>50590057.509999998</v>
      </c>
    </row>
    <row r="1250" spans="1:7" x14ac:dyDescent="0.25">
      <c r="A1250" s="1">
        <v>45566</v>
      </c>
      <c r="B1250" t="s">
        <v>7</v>
      </c>
      <c r="C1250" t="s">
        <v>1360</v>
      </c>
      <c r="D1250" t="s">
        <v>1361</v>
      </c>
      <c r="E1250">
        <v>52940919.219999999</v>
      </c>
      <c r="F1250">
        <v>54517876.530000001</v>
      </c>
      <c r="G1250">
        <v>56094.64</v>
      </c>
    </row>
    <row r="1251" spans="1:7" x14ac:dyDescent="0.25">
      <c r="A1251" s="1">
        <v>45474</v>
      </c>
      <c r="B1251" t="s">
        <v>7</v>
      </c>
      <c r="C1251" t="s">
        <v>1360</v>
      </c>
      <c r="D1251" t="s">
        <v>1362</v>
      </c>
      <c r="E1251">
        <v>55993469.07</v>
      </c>
      <c r="F1251">
        <v>68043946.799999997</v>
      </c>
      <c r="G1251">
        <v>84684.09</v>
      </c>
    </row>
    <row r="1252" spans="1:7" x14ac:dyDescent="0.25">
      <c r="A1252" s="1">
        <v>45292</v>
      </c>
      <c r="B1252" t="s">
        <v>7</v>
      </c>
      <c r="C1252" t="s">
        <v>1360</v>
      </c>
      <c r="D1252" t="s">
        <v>1363</v>
      </c>
      <c r="E1252">
        <v>48718770.009999998</v>
      </c>
      <c r="F1252">
        <v>8489933.7400000002</v>
      </c>
      <c r="G1252">
        <v>55380803.090000004</v>
      </c>
    </row>
    <row r="1253" spans="1:7" x14ac:dyDescent="0.25">
      <c r="A1253" s="1">
        <v>45444</v>
      </c>
      <c r="B1253" t="s">
        <v>7</v>
      </c>
      <c r="C1253" t="s">
        <v>1360</v>
      </c>
      <c r="D1253" t="s">
        <v>1364</v>
      </c>
      <c r="E1253">
        <v>71863643</v>
      </c>
      <c r="F1253">
        <v>56236809.850000001</v>
      </c>
      <c r="G1253">
        <v>93506.8</v>
      </c>
    </row>
    <row r="1254" spans="1:7" x14ac:dyDescent="0.25">
      <c r="A1254" s="1">
        <v>45627</v>
      </c>
      <c r="B1254" t="s">
        <v>7</v>
      </c>
      <c r="C1254" t="s">
        <v>1360</v>
      </c>
      <c r="D1254" t="s">
        <v>1365</v>
      </c>
      <c r="E1254">
        <v>57461336.170000002</v>
      </c>
      <c r="F1254">
        <v>66385798.439999998</v>
      </c>
      <c r="G1254">
        <v>348747.42</v>
      </c>
    </row>
    <row r="1255" spans="1:7" x14ac:dyDescent="0.25">
      <c r="A1255" s="1">
        <v>45413</v>
      </c>
      <c r="B1255" t="s">
        <v>7</v>
      </c>
      <c r="C1255" t="s">
        <v>1360</v>
      </c>
      <c r="D1255" t="s">
        <v>1366</v>
      </c>
      <c r="E1255">
        <v>57002777.68</v>
      </c>
      <c r="F1255">
        <v>54850393.670000002</v>
      </c>
      <c r="G1255">
        <v>1104912.74</v>
      </c>
    </row>
    <row r="1256" spans="1:7" x14ac:dyDescent="0.25">
      <c r="A1256" s="1">
        <v>45505</v>
      </c>
      <c r="B1256" t="s">
        <v>7</v>
      </c>
      <c r="C1256" t="s">
        <v>1360</v>
      </c>
      <c r="D1256" t="s">
        <v>1367</v>
      </c>
      <c r="E1256">
        <v>55555651.159999996</v>
      </c>
      <c r="F1256">
        <v>60057949.210000001</v>
      </c>
      <c r="G1256">
        <v>83888.55</v>
      </c>
    </row>
    <row r="1257" spans="1:7" x14ac:dyDescent="0.25">
      <c r="A1257" s="1">
        <v>45536</v>
      </c>
      <c r="B1257" t="s">
        <v>7</v>
      </c>
      <c r="C1257" t="s">
        <v>1360</v>
      </c>
      <c r="D1257" t="s">
        <v>1368</v>
      </c>
      <c r="E1257">
        <v>58248387.289999999</v>
      </c>
      <c r="F1257">
        <v>56963632.109999999</v>
      </c>
      <c r="G1257">
        <v>100339.21</v>
      </c>
    </row>
    <row r="1258" spans="1:7" x14ac:dyDescent="0.25">
      <c r="A1258" s="1">
        <v>45383</v>
      </c>
      <c r="B1258" t="s">
        <v>7</v>
      </c>
      <c r="C1258" t="s">
        <v>1360</v>
      </c>
      <c r="D1258" t="s">
        <v>1369</v>
      </c>
      <c r="E1258">
        <v>51918616.159999996</v>
      </c>
      <c r="F1258">
        <v>49358501.25</v>
      </c>
      <c r="G1258">
        <v>912569.78</v>
      </c>
    </row>
    <row r="1259" spans="1:7" x14ac:dyDescent="0.25">
      <c r="A1259" s="1">
        <v>45597</v>
      </c>
      <c r="B1259" t="s">
        <v>7</v>
      </c>
      <c r="C1259" t="s">
        <v>1360</v>
      </c>
      <c r="D1259" t="s">
        <v>1370</v>
      </c>
      <c r="E1259">
        <v>81499828.609999999</v>
      </c>
      <c r="F1259">
        <v>64143274.390000001</v>
      </c>
      <c r="G1259">
        <v>15012.75</v>
      </c>
    </row>
    <row r="1260" spans="1:7" x14ac:dyDescent="0.25">
      <c r="A1260" s="1">
        <v>45323</v>
      </c>
      <c r="B1260" t="s">
        <v>7</v>
      </c>
      <c r="C1260" t="s">
        <v>1360</v>
      </c>
      <c r="D1260" t="s">
        <v>1371</v>
      </c>
      <c r="E1260">
        <v>58072770.770000003</v>
      </c>
      <c r="F1260">
        <v>52933652.619999997</v>
      </c>
      <c r="G1260">
        <v>11197761.039999999</v>
      </c>
    </row>
    <row r="1261" spans="1:7" x14ac:dyDescent="0.25">
      <c r="A1261" s="1">
        <v>45352</v>
      </c>
      <c r="B1261" t="s">
        <v>7</v>
      </c>
      <c r="C1261" t="s">
        <v>1360</v>
      </c>
      <c r="D1261" t="s">
        <v>1372</v>
      </c>
      <c r="E1261">
        <v>48290656.409999996</v>
      </c>
      <c r="F1261">
        <v>50008872.780000001</v>
      </c>
      <c r="G1261">
        <v>2123066.41</v>
      </c>
    </row>
    <row r="1262" spans="1:7" x14ac:dyDescent="0.25">
      <c r="A1262" s="1">
        <v>45444</v>
      </c>
      <c r="B1262" t="s">
        <v>7</v>
      </c>
      <c r="C1262" t="s">
        <v>1373</v>
      </c>
      <c r="D1262" t="s">
        <v>1374</v>
      </c>
      <c r="E1262">
        <v>227102455.91</v>
      </c>
      <c r="F1262">
        <v>160708643.16999999</v>
      </c>
      <c r="G1262">
        <v>1820227.55</v>
      </c>
    </row>
    <row r="1263" spans="1:7" x14ac:dyDescent="0.25">
      <c r="A1263" s="1">
        <v>45383</v>
      </c>
      <c r="B1263" t="s">
        <v>7</v>
      </c>
      <c r="C1263" t="s">
        <v>1373</v>
      </c>
      <c r="D1263" t="s">
        <v>1375</v>
      </c>
      <c r="E1263">
        <v>156008209.21000001</v>
      </c>
      <c r="F1263">
        <v>155851559.53999999</v>
      </c>
      <c r="G1263">
        <v>7514132.2699999996</v>
      </c>
    </row>
    <row r="1264" spans="1:7" x14ac:dyDescent="0.25">
      <c r="A1264" s="1">
        <v>45292</v>
      </c>
      <c r="B1264" t="s">
        <v>7</v>
      </c>
      <c r="C1264" t="s">
        <v>1373</v>
      </c>
      <c r="D1264" t="s">
        <v>1376</v>
      </c>
      <c r="E1264">
        <v>147422510.56</v>
      </c>
      <c r="F1264">
        <v>24182805.41</v>
      </c>
      <c r="G1264">
        <v>183032124.87</v>
      </c>
    </row>
    <row r="1265" spans="1:7" x14ac:dyDescent="0.25">
      <c r="A1265" s="1">
        <v>45597</v>
      </c>
      <c r="B1265" t="s">
        <v>7</v>
      </c>
      <c r="C1265" t="s">
        <v>1373</v>
      </c>
      <c r="D1265" t="s">
        <v>1377</v>
      </c>
      <c r="E1265">
        <v>238436674.00999999</v>
      </c>
      <c r="F1265">
        <v>211194299.93000001</v>
      </c>
      <c r="G1265">
        <v>785207.61</v>
      </c>
    </row>
    <row r="1266" spans="1:7" x14ac:dyDescent="0.25">
      <c r="A1266" s="1">
        <v>45323</v>
      </c>
      <c r="B1266" t="s">
        <v>7</v>
      </c>
      <c r="C1266" t="s">
        <v>1373</v>
      </c>
      <c r="D1266" t="s">
        <v>1378</v>
      </c>
      <c r="E1266">
        <v>146383654.62</v>
      </c>
      <c r="F1266">
        <v>132790048.43000001</v>
      </c>
      <c r="G1266">
        <v>33519608.41</v>
      </c>
    </row>
    <row r="1267" spans="1:7" x14ac:dyDescent="0.25">
      <c r="A1267" s="1">
        <v>45352</v>
      </c>
      <c r="B1267" t="s">
        <v>7</v>
      </c>
      <c r="C1267" t="s">
        <v>1373</v>
      </c>
      <c r="D1267" t="s">
        <v>1379</v>
      </c>
      <c r="E1267">
        <v>158511850.78</v>
      </c>
      <c r="F1267">
        <v>152730274.72</v>
      </c>
      <c r="G1267">
        <v>8827933.4399999995</v>
      </c>
    </row>
    <row r="1268" spans="1:7" x14ac:dyDescent="0.25">
      <c r="A1268" s="1">
        <v>45474</v>
      </c>
      <c r="B1268" t="s">
        <v>7</v>
      </c>
      <c r="C1268" t="s">
        <v>1373</v>
      </c>
      <c r="D1268" t="s">
        <v>1380</v>
      </c>
      <c r="E1268">
        <v>168923059.80000001</v>
      </c>
      <c r="F1268">
        <v>229436294.78999999</v>
      </c>
      <c r="G1268">
        <v>2525119.8199999998</v>
      </c>
    </row>
    <row r="1269" spans="1:7" x14ac:dyDescent="0.25">
      <c r="A1269" s="1">
        <v>45627</v>
      </c>
      <c r="B1269" t="s">
        <v>7</v>
      </c>
      <c r="C1269" t="s">
        <v>1373</v>
      </c>
      <c r="D1269" t="s">
        <v>1381</v>
      </c>
      <c r="E1269">
        <v>190794794.99000001</v>
      </c>
      <c r="F1269">
        <v>212016505.52000001</v>
      </c>
      <c r="G1269">
        <v>409056.88</v>
      </c>
    </row>
    <row r="1270" spans="1:7" x14ac:dyDescent="0.25">
      <c r="A1270" s="1">
        <v>45413</v>
      </c>
      <c r="B1270" t="s">
        <v>7</v>
      </c>
      <c r="C1270" t="s">
        <v>1373</v>
      </c>
      <c r="D1270" t="s">
        <v>1382</v>
      </c>
      <c r="E1270">
        <v>165652072.50999999</v>
      </c>
      <c r="F1270">
        <v>159268139.72</v>
      </c>
      <c r="G1270">
        <v>3460707.5</v>
      </c>
    </row>
    <row r="1271" spans="1:7" x14ac:dyDescent="0.25">
      <c r="A1271" s="1">
        <v>45566</v>
      </c>
      <c r="B1271" t="s">
        <v>7</v>
      </c>
      <c r="C1271" t="s">
        <v>1373</v>
      </c>
      <c r="D1271" t="s">
        <v>1383</v>
      </c>
      <c r="E1271">
        <v>167272884.94</v>
      </c>
      <c r="F1271">
        <v>168681501.90000001</v>
      </c>
      <c r="G1271">
        <v>1123374.1000000001</v>
      </c>
    </row>
    <row r="1272" spans="1:7" x14ac:dyDescent="0.25">
      <c r="A1272" s="1">
        <v>45536</v>
      </c>
      <c r="B1272" t="s">
        <v>7</v>
      </c>
      <c r="C1272" t="s">
        <v>1373</v>
      </c>
      <c r="D1272" t="s">
        <v>1384</v>
      </c>
      <c r="E1272">
        <v>189065885.81999999</v>
      </c>
      <c r="F1272">
        <v>169441879.81999999</v>
      </c>
      <c r="G1272">
        <v>5781311.29</v>
      </c>
    </row>
    <row r="1273" spans="1:7" x14ac:dyDescent="0.25">
      <c r="A1273" s="1">
        <v>45505</v>
      </c>
      <c r="B1273" t="s">
        <v>7</v>
      </c>
      <c r="C1273" t="s">
        <v>1373</v>
      </c>
      <c r="D1273" t="s">
        <v>1385</v>
      </c>
      <c r="E1273">
        <v>171270221.08000001</v>
      </c>
      <c r="F1273">
        <v>165992929.28999999</v>
      </c>
      <c r="G1273">
        <v>1064225.52</v>
      </c>
    </row>
    <row r="1274" spans="1:7" x14ac:dyDescent="0.25">
      <c r="A1274" s="1">
        <v>45536</v>
      </c>
      <c r="B1274" t="s">
        <v>7</v>
      </c>
      <c r="C1274" t="s">
        <v>1386</v>
      </c>
      <c r="D1274" t="s">
        <v>1387</v>
      </c>
      <c r="E1274">
        <v>172187591.25999999</v>
      </c>
      <c r="F1274">
        <v>173781390.99000001</v>
      </c>
      <c r="G1274">
        <v>680062.21</v>
      </c>
    </row>
    <row r="1275" spans="1:7" x14ac:dyDescent="0.25">
      <c r="A1275" s="1">
        <v>45323</v>
      </c>
      <c r="B1275" t="s">
        <v>7</v>
      </c>
      <c r="C1275" t="s">
        <v>1386</v>
      </c>
      <c r="D1275" t="s">
        <v>1388</v>
      </c>
      <c r="E1275">
        <v>166706551.5</v>
      </c>
      <c r="F1275">
        <v>149236485.13999999</v>
      </c>
      <c r="G1275">
        <v>30328168.02</v>
      </c>
    </row>
    <row r="1276" spans="1:7" x14ac:dyDescent="0.25">
      <c r="A1276" s="1">
        <v>45352</v>
      </c>
      <c r="B1276" t="s">
        <v>7</v>
      </c>
      <c r="C1276" t="s">
        <v>1386</v>
      </c>
      <c r="D1276" t="s">
        <v>1389</v>
      </c>
      <c r="E1276">
        <v>172540416.34</v>
      </c>
      <c r="F1276">
        <v>167399087.34</v>
      </c>
      <c r="G1276">
        <v>8605139.5</v>
      </c>
    </row>
    <row r="1277" spans="1:7" x14ac:dyDescent="0.25">
      <c r="A1277" s="1">
        <v>45566</v>
      </c>
      <c r="B1277" t="s">
        <v>7</v>
      </c>
      <c r="C1277" t="s">
        <v>1386</v>
      </c>
      <c r="D1277" t="s">
        <v>1390</v>
      </c>
      <c r="E1277">
        <v>179537439.34999999</v>
      </c>
      <c r="F1277">
        <v>181827074.88</v>
      </c>
      <c r="G1277">
        <v>214828.17</v>
      </c>
    </row>
    <row r="1278" spans="1:7" x14ac:dyDescent="0.25">
      <c r="A1278" s="1">
        <v>45444</v>
      </c>
      <c r="B1278" t="s">
        <v>7</v>
      </c>
      <c r="C1278" t="s">
        <v>1386</v>
      </c>
      <c r="D1278" t="s">
        <v>1391</v>
      </c>
      <c r="E1278">
        <v>377182602.45999998</v>
      </c>
      <c r="F1278">
        <v>229857060.22999999</v>
      </c>
      <c r="G1278">
        <v>18905710.609999999</v>
      </c>
    </row>
    <row r="1279" spans="1:7" x14ac:dyDescent="0.25">
      <c r="A1279" s="1">
        <v>45627</v>
      </c>
      <c r="B1279" t="s">
        <v>7</v>
      </c>
      <c r="C1279" t="s">
        <v>1386</v>
      </c>
      <c r="D1279" t="s">
        <v>1392</v>
      </c>
      <c r="E1279">
        <v>225068845.28</v>
      </c>
      <c r="F1279">
        <v>333856663.19</v>
      </c>
      <c r="G1279">
        <v>467910.54</v>
      </c>
    </row>
    <row r="1280" spans="1:7" x14ac:dyDescent="0.25">
      <c r="A1280" s="1">
        <v>45413</v>
      </c>
      <c r="B1280" t="s">
        <v>7</v>
      </c>
      <c r="C1280" t="s">
        <v>1386</v>
      </c>
      <c r="D1280" t="s">
        <v>1393</v>
      </c>
      <c r="E1280">
        <v>196836708.30000001</v>
      </c>
      <c r="F1280">
        <v>175613157.06</v>
      </c>
      <c r="G1280">
        <v>1735710.71</v>
      </c>
    </row>
    <row r="1281" spans="1:7" x14ac:dyDescent="0.25">
      <c r="A1281" s="1">
        <v>45505</v>
      </c>
      <c r="B1281" t="s">
        <v>7</v>
      </c>
      <c r="C1281" t="s">
        <v>1386</v>
      </c>
      <c r="D1281" t="s">
        <v>1394</v>
      </c>
      <c r="E1281">
        <v>177230261.65000001</v>
      </c>
      <c r="F1281">
        <v>179096245.44</v>
      </c>
      <c r="G1281">
        <v>675643.14</v>
      </c>
    </row>
    <row r="1282" spans="1:7" x14ac:dyDescent="0.25">
      <c r="A1282" s="1">
        <v>45474</v>
      </c>
      <c r="B1282" t="s">
        <v>7</v>
      </c>
      <c r="C1282" t="s">
        <v>1386</v>
      </c>
      <c r="D1282" t="s">
        <v>1395</v>
      </c>
      <c r="E1282">
        <v>179349347.77000001</v>
      </c>
      <c r="F1282">
        <v>225516817.06999999</v>
      </c>
      <c r="G1282">
        <v>495850.23999999999</v>
      </c>
    </row>
    <row r="1283" spans="1:7" x14ac:dyDescent="0.25">
      <c r="A1283" s="1">
        <v>45383</v>
      </c>
      <c r="B1283" t="s">
        <v>7</v>
      </c>
      <c r="C1283" t="s">
        <v>1386</v>
      </c>
      <c r="D1283" t="s">
        <v>1396</v>
      </c>
      <c r="E1283">
        <v>168534653.22</v>
      </c>
      <c r="F1283">
        <v>168161741.66999999</v>
      </c>
      <c r="G1283">
        <v>6551850.2300000004</v>
      </c>
    </row>
    <row r="1284" spans="1:7" x14ac:dyDescent="0.25">
      <c r="A1284" s="1">
        <v>45292</v>
      </c>
      <c r="B1284" t="s">
        <v>7</v>
      </c>
      <c r="C1284" t="s">
        <v>1386</v>
      </c>
      <c r="D1284" t="s">
        <v>1397</v>
      </c>
      <c r="E1284">
        <v>164284635.25</v>
      </c>
      <c r="F1284">
        <v>27629055.870000001</v>
      </c>
      <c r="G1284">
        <v>177533679.19999999</v>
      </c>
    </row>
    <row r="1285" spans="1:7" x14ac:dyDescent="0.25">
      <c r="A1285" s="1">
        <v>45597</v>
      </c>
      <c r="B1285" t="s">
        <v>7</v>
      </c>
      <c r="C1285" t="s">
        <v>1386</v>
      </c>
      <c r="D1285" t="s">
        <v>1398</v>
      </c>
      <c r="E1285">
        <v>255224108.58000001</v>
      </c>
      <c r="F1285">
        <v>206369024.94</v>
      </c>
      <c r="G1285">
        <v>565572.52</v>
      </c>
    </row>
    <row r="1286" spans="1:7" x14ac:dyDescent="0.25">
      <c r="A1286" s="1">
        <v>45292</v>
      </c>
      <c r="B1286" t="s">
        <v>7</v>
      </c>
      <c r="C1286" t="s">
        <v>1399</v>
      </c>
      <c r="D1286" t="s">
        <v>1400</v>
      </c>
      <c r="E1286">
        <v>9030864.0500000007</v>
      </c>
      <c r="F1286">
        <v>1738485.36</v>
      </c>
      <c r="G1286">
        <v>10365523.58</v>
      </c>
    </row>
    <row r="1287" spans="1:7" x14ac:dyDescent="0.25">
      <c r="A1287" s="1">
        <v>45474</v>
      </c>
      <c r="B1287" t="s">
        <v>7</v>
      </c>
      <c r="C1287" t="s">
        <v>1399</v>
      </c>
      <c r="D1287" t="s">
        <v>1401</v>
      </c>
      <c r="E1287">
        <v>11682943.529999999</v>
      </c>
      <c r="F1287">
        <v>14664191.619999999</v>
      </c>
      <c r="G1287">
        <v>1294082.24</v>
      </c>
    </row>
    <row r="1288" spans="1:7" x14ac:dyDescent="0.25">
      <c r="A1288" s="1">
        <v>45627</v>
      </c>
      <c r="B1288" t="s">
        <v>7</v>
      </c>
      <c r="C1288" t="s">
        <v>1399</v>
      </c>
      <c r="D1288" t="s">
        <v>1402</v>
      </c>
      <c r="E1288">
        <v>24238820.219999999</v>
      </c>
      <c r="F1288">
        <v>24449954.91</v>
      </c>
      <c r="G1288">
        <v>74820.66</v>
      </c>
    </row>
    <row r="1289" spans="1:7" x14ac:dyDescent="0.25">
      <c r="A1289" s="1">
        <v>45352</v>
      </c>
      <c r="B1289" t="s">
        <v>7</v>
      </c>
      <c r="C1289" t="s">
        <v>1399</v>
      </c>
      <c r="D1289" t="s">
        <v>1403</v>
      </c>
      <c r="E1289">
        <v>10264308.539999999</v>
      </c>
      <c r="F1289">
        <v>10103284.07</v>
      </c>
      <c r="G1289">
        <v>1754245.18</v>
      </c>
    </row>
    <row r="1290" spans="1:7" x14ac:dyDescent="0.25">
      <c r="A1290" s="1">
        <v>45536</v>
      </c>
      <c r="B1290" t="s">
        <v>7</v>
      </c>
      <c r="C1290" t="s">
        <v>1399</v>
      </c>
      <c r="D1290" t="s">
        <v>1404</v>
      </c>
      <c r="E1290">
        <v>14060779.92</v>
      </c>
      <c r="F1290">
        <v>11368877.689999999</v>
      </c>
      <c r="G1290">
        <v>1787294.03</v>
      </c>
    </row>
    <row r="1291" spans="1:7" x14ac:dyDescent="0.25">
      <c r="A1291" s="1">
        <v>45413</v>
      </c>
      <c r="B1291" t="s">
        <v>7</v>
      </c>
      <c r="C1291" t="s">
        <v>1399</v>
      </c>
      <c r="D1291" t="s">
        <v>1405</v>
      </c>
      <c r="E1291">
        <v>11506139.039999999</v>
      </c>
      <c r="F1291">
        <v>9484635.7699999996</v>
      </c>
      <c r="G1291">
        <v>682353.07</v>
      </c>
    </row>
    <row r="1292" spans="1:7" x14ac:dyDescent="0.25">
      <c r="A1292" s="1">
        <v>45444</v>
      </c>
      <c r="B1292" t="s">
        <v>7</v>
      </c>
      <c r="C1292" t="s">
        <v>1399</v>
      </c>
      <c r="D1292" t="s">
        <v>1406</v>
      </c>
      <c r="E1292">
        <v>13768450.619999999</v>
      </c>
      <c r="F1292">
        <v>11075358.039999999</v>
      </c>
      <c r="G1292">
        <v>1051172.43</v>
      </c>
    </row>
    <row r="1293" spans="1:7" x14ac:dyDescent="0.25">
      <c r="A1293" s="1">
        <v>45323</v>
      </c>
      <c r="B1293" t="s">
        <v>7</v>
      </c>
      <c r="C1293" t="s">
        <v>1399</v>
      </c>
      <c r="D1293" t="s">
        <v>1407</v>
      </c>
      <c r="E1293">
        <v>9666595.5199999996</v>
      </c>
      <c r="F1293">
        <v>8615814.4900000002</v>
      </c>
      <c r="G1293">
        <v>2402242.75</v>
      </c>
    </row>
    <row r="1294" spans="1:7" x14ac:dyDescent="0.25">
      <c r="A1294" s="1">
        <v>45597</v>
      </c>
      <c r="B1294" t="s">
        <v>7</v>
      </c>
      <c r="C1294" t="s">
        <v>1399</v>
      </c>
      <c r="D1294" t="s">
        <v>1408</v>
      </c>
      <c r="E1294">
        <v>19385342.5</v>
      </c>
      <c r="F1294">
        <v>15332406.470000001</v>
      </c>
      <c r="G1294">
        <v>120750.21</v>
      </c>
    </row>
    <row r="1295" spans="1:7" x14ac:dyDescent="0.25">
      <c r="A1295" s="1">
        <v>45566</v>
      </c>
      <c r="B1295" t="s">
        <v>7</v>
      </c>
      <c r="C1295" t="s">
        <v>1399</v>
      </c>
      <c r="D1295" t="s">
        <v>1409</v>
      </c>
      <c r="E1295">
        <v>12880312.77</v>
      </c>
      <c r="F1295">
        <v>13537367.039999999</v>
      </c>
      <c r="G1295">
        <v>476119.91</v>
      </c>
    </row>
    <row r="1296" spans="1:7" x14ac:dyDescent="0.25">
      <c r="A1296" s="1">
        <v>45383</v>
      </c>
      <c r="B1296" t="s">
        <v>7</v>
      </c>
      <c r="C1296" t="s">
        <v>1399</v>
      </c>
      <c r="D1296" t="s">
        <v>1410</v>
      </c>
      <c r="E1296">
        <v>9811885.2699999996</v>
      </c>
      <c r="F1296">
        <v>11129209.050000001</v>
      </c>
      <c r="G1296">
        <v>1504371.27</v>
      </c>
    </row>
    <row r="1297" spans="1:7" x14ac:dyDescent="0.25">
      <c r="A1297" s="1">
        <v>45505</v>
      </c>
      <c r="B1297" t="s">
        <v>7</v>
      </c>
      <c r="C1297" t="s">
        <v>1399</v>
      </c>
      <c r="D1297" t="s">
        <v>1411</v>
      </c>
      <c r="E1297">
        <v>10170641.4</v>
      </c>
      <c r="F1297">
        <v>10391425.710000001</v>
      </c>
      <c r="G1297">
        <v>1285328.7</v>
      </c>
    </row>
    <row r="1298" spans="1:7" x14ac:dyDescent="0.25">
      <c r="A1298" s="1">
        <v>45323</v>
      </c>
      <c r="B1298" t="s">
        <v>7</v>
      </c>
      <c r="C1298" t="s">
        <v>1412</v>
      </c>
      <c r="D1298" t="s">
        <v>1413</v>
      </c>
      <c r="E1298">
        <v>13949754.359999999</v>
      </c>
      <c r="F1298">
        <v>11981481.609999999</v>
      </c>
      <c r="G1298">
        <v>1967208.05</v>
      </c>
    </row>
    <row r="1299" spans="1:7" x14ac:dyDescent="0.25">
      <c r="A1299" s="1">
        <v>45536</v>
      </c>
      <c r="B1299" t="s">
        <v>7</v>
      </c>
      <c r="C1299" t="s">
        <v>1412</v>
      </c>
      <c r="D1299" t="s">
        <v>1414</v>
      </c>
      <c r="E1299">
        <v>12244372.68</v>
      </c>
      <c r="F1299">
        <v>12596254.74</v>
      </c>
      <c r="G1299">
        <v>342186.28</v>
      </c>
    </row>
    <row r="1300" spans="1:7" x14ac:dyDescent="0.25">
      <c r="A1300" s="1">
        <v>45627</v>
      </c>
      <c r="B1300" t="s">
        <v>7</v>
      </c>
      <c r="C1300" t="s">
        <v>1412</v>
      </c>
      <c r="D1300" t="s">
        <v>1415</v>
      </c>
      <c r="E1300">
        <v>16046647.109999999</v>
      </c>
      <c r="F1300">
        <v>16745841.83</v>
      </c>
      <c r="G1300">
        <v>749577.55</v>
      </c>
    </row>
    <row r="1301" spans="1:7" x14ac:dyDescent="0.25">
      <c r="A1301" s="1">
        <v>45597</v>
      </c>
      <c r="B1301" t="s">
        <v>7</v>
      </c>
      <c r="C1301" t="s">
        <v>1412</v>
      </c>
      <c r="D1301" t="s">
        <v>1416</v>
      </c>
      <c r="E1301">
        <v>19140708.210000001</v>
      </c>
      <c r="F1301">
        <v>15035906.220000001</v>
      </c>
      <c r="G1301">
        <v>442264.74</v>
      </c>
    </row>
    <row r="1302" spans="1:7" x14ac:dyDescent="0.25">
      <c r="A1302" s="1">
        <v>45505</v>
      </c>
      <c r="B1302" t="s">
        <v>7</v>
      </c>
      <c r="C1302" t="s">
        <v>1412</v>
      </c>
      <c r="D1302" t="s">
        <v>1417</v>
      </c>
      <c r="E1302">
        <v>14104829.43</v>
      </c>
      <c r="F1302">
        <v>13805563.77</v>
      </c>
      <c r="G1302">
        <v>594658.56999999995</v>
      </c>
    </row>
    <row r="1303" spans="1:7" x14ac:dyDescent="0.25">
      <c r="A1303" s="1">
        <v>45292</v>
      </c>
      <c r="B1303" t="s">
        <v>7</v>
      </c>
      <c r="C1303" t="s">
        <v>1412</v>
      </c>
      <c r="D1303" t="s">
        <v>1418</v>
      </c>
      <c r="E1303">
        <v>13605398</v>
      </c>
      <c r="F1303">
        <v>2905426.7</v>
      </c>
      <c r="G1303">
        <v>12764244.41</v>
      </c>
    </row>
    <row r="1304" spans="1:7" x14ac:dyDescent="0.25">
      <c r="A1304" s="1">
        <v>45413</v>
      </c>
      <c r="B1304" t="s">
        <v>7</v>
      </c>
      <c r="C1304" t="s">
        <v>1412</v>
      </c>
      <c r="D1304" t="s">
        <v>1419</v>
      </c>
      <c r="E1304">
        <v>14243617.560000001</v>
      </c>
      <c r="F1304">
        <v>13117517.460000001</v>
      </c>
      <c r="G1304">
        <v>1881596.79</v>
      </c>
    </row>
    <row r="1305" spans="1:7" x14ac:dyDescent="0.25">
      <c r="A1305" s="1">
        <v>45352</v>
      </c>
      <c r="B1305" t="s">
        <v>7</v>
      </c>
      <c r="C1305" t="s">
        <v>1412</v>
      </c>
      <c r="D1305" t="s">
        <v>1420</v>
      </c>
      <c r="E1305">
        <v>13751874.789999999</v>
      </c>
      <c r="F1305">
        <v>14717548.949999999</v>
      </c>
      <c r="G1305">
        <v>1820866.89</v>
      </c>
    </row>
    <row r="1306" spans="1:7" x14ac:dyDescent="0.25">
      <c r="A1306" s="1">
        <v>45566</v>
      </c>
      <c r="B1306" t="s">
        <v>7</v>
      </c>
      <c r="C1306" t="s">
        <v>1412</v>
      </c>
      <c r="D1306" t="s">
        <v>1421</v>
      </c>
      <c r="E1306">
        <v>12530077.02</v>
      </c>
      <c r="F1306">
        <v>12158274.4</v>
      </c>
      <c r="G1306">
        <v>372955.89</v>
      </c>
    </row>
    <row r="1307" spans="1:7" x14ac:dyDescent="0.25">
      <c r="A1307" s="1">
        <v>45444</v>
      </c>
      <c r="B1307" t="s">
        <v>7</v>
      </c>
      <c r="C1307" t="s">
        <v>1412</v>
      </c>
      <c r="D1307" t="s">
        <v>1422</v>
      </c>
      <c r="E1307">
        <v>16506282.689999999</v>
      </c>
      <c r="F1307">
        <v>13841349.300000001</v>
      </c>
      <c r="G1307">
        <v>2719671.2</v>
      </c>
    </row>
    <row r="1308" spans="1:7" x14ac:dyDescent="0.25">
      <c r="A1308" s="1">
        <v>45383</v>
      </c>
      <c r="B1308" t="s">
        <v>7</v>
      </c>
      <c r="C1308" t="s">
        <v>1412</v>
      </c>
      <c r="D1308" t="s">
        <v>1423</v>
      </c>
      <c r="E1308">
        <v>11605457.539999999</v>
      </c>
      <c r="F1308">
        <v>12530472.439999999</v>
      </c>
      <c r="G1308">
        <v>690802.6</v>
      </c>
    </row>
    <row r="1309" spans="1:7" x14ac:dyDescent="0.25">
      <c r="A1309" s="1">
        <v>45474</v>
      </c>
      <c r="B1309" t="s">
        <v>7</v>
      </c>
      <c r="C1309" t="s">
        <v>1412</v>
      </c>
      <c r="D1309" t="s">
        <v>1424</v>
      </c>
      <c r="E1309">
        <v>13873360.08</v>
      </c>
      <c r="F1309">
        <v>17145870.460000001</v>
      </c>
      <c r="G1309">
        <v>717548.53</v>
      </c>
    </row>
    <row r="1310" spans="1:7" x14ac:dyDescent="0.25">
      <c r="A1310" s="1">
        <v>45323</v>
      </c>
      <c r="B1310" t="s">
        <v>7</v>
      </c>
      <c r="C1310" t="s">
        <v>1425</v>
      </c>
      <c r="D1310" t="s">
        <v>1426</v>
      </c>
      <c r="E1310">
        <v>45019201</v>
      </c>
      <c r="F1310">
        <v>39565261.850000001</v>
      </c>
      <c r="G1310">
        <v>13387048.539999999</v>
      </c>
    </row>
    <row r="1311" spans="1:7" x14ac:dyDescent="0.25">
      <c r="A1311" s="1">
        <v>45505</v>
      </c>
      <c r="B1311" t="s">
        <v>7</v>
      </c>
      <c r="C1311" t="s">
        <v>1425</v>
      </c>
      <c r="D1311" t="s">
        <v>1427</v>
      </c>
      <c r="E1311">
        <v>47825645.390000001</v>
      </c>
      <c r="F1311">
        <v>47886699.299999997</v>
      </c>
      <c r="G1311">
        <v>1488926.11</v>
      </c>
    </row>
    <row r="1312" spans="1:7" x14ac:dyDescent="0.25">
      <c r="A1312" s="1">
        <v>45536</v>
      </c>
      <c r="B1312" t="s">
        <v>7</v>
      </c>
      <c r="C1312" t="s">
        <v>1425</v>
      </c>
      <c r="D1312" t="s">
        <v>1428</v>
      </c>
      <c r="E1312">
        <v>48671791.119999997</v>
      </c>
      <c r="F1312">
        <v>48291509.219999999</v>
      </c>
      <c r="G1312">
        <v>346706.12</v>
      </c>
    </row>
    <row r="1313" spans="1:7" x14ac:dyDescent="0.25">
      <c r="A1313" s="1">
        <v>45383</v>
      </c>
      <c r="B1313" t="s">
        <v>7</v>
      </c>
      <c r="C1313" t="s">
        <v>1425</v>
      </c>
      <c r="D1313" t="s">
        <v>1429</v>
      </c>
      <c r="E1313">
        <v>45771425.479999997</v>
      </c>
      <c r="F1313">
        <v>45810583.140000001</v>
      </c>
      <c r="G1313">
        <v>1955797.88</v>
      </c>
    </row>
    <row r="1314" spans="1:7" x14ac:dyDescent="0.25">
      <c r="A1314" s="1">
        <v>45292</v>
      </c>
      <c r="B1314" t="s">
        <v>7</v>
      </c>
      <c r="C1314" t="s">
        <v>1425</v>
      </c>
      <c r="D1314" t="s">
        <v>1430</v>
      </c>
      <c r="E1314">
        <v>44678766.119999997</v>
      </c>
      <c r="F1314">
        <v>7831877.1399999997</v>
      </c>
      <c r="G1314">
        <v>47666263.630000003</v>
      </c>
    </row>
    <row r="1315" spans="1:7" x14ac:dyDescent="0.25">
      <c r="A1315" s="1">
        <v>45627</v>
      </c>
      <c r="B1315" t="s">
        <v>7</v>
      </c>
      <c r="C1315" t="s">
        <v>1425</v>
      </c>
      <c r="D1315" t="s">
        <v>1431</v>
      </c>
      <c r="E1315">
        <v>54284131.789999999</v>
      </c>
      <c r="F1315">
        <v>59868598.200000003</v>
      </c>
      <c r="G1315">
        <v>230805.54</v>
      </c>
    </row>
    <row r="1316" spans="1:7" x14ac:dyDescent="0.25">
      <c r="A1316" s="1">
        <v>45566</v>
      </c>
      <c r="B1316" t="s">
        <v>7</v>
      </c>
      <c r="C1316" t="s">
        <v>1425</v>
      </c>
      <c r="D1316" t="s">
        <v>1432</v>
      </c>
      <c r="E1316">
        <v>48733485.630000003</v>
      </c>
      <c r="F1316">
        <v>48641207.630000003</v>
      </c>
      <c r="G1316">
        <v>322219.53000000003</v>
      </c>
    </row>
    <row r="1317" spans="1:7" x14ac:dyDescent="0.25">
      <c r="A1317" s="1">
        <v>45352</v>
      </c>
      <c r="B1317" t="s">
        <v>7</v>
      </c>
      <c r="C1317" t="s">
        <v>1425</v>
      </c>
      <c r="D1317" t="s">
        <v>1433</v>
      </c>
      <c r="E1317">
        <v>44799819.859999999</v>
      </c>
      <c r="F1317">
        <v>45045104.719999999</v>
      </c>
      <c r="G1317">
        <v>3729758.23</v>
      </c>
    </row>
    <row r="1318" spans="1:7" x14ac:dyDescent="0.25">
      <c r="A1318" s="1">
        <v>45474</v>
      </c>
      <c r="B1318" t="s">
        <v>7</v>
      </c>
      <c r="C1318" t="s">
        <v>1425</v>
      </c>
      <c r="D1318" t="s">
        <v>1434</v>
      </c>
      <c r="E1318">
        <v>48100998.399999999</v>
      </c>
      <c r="F1318">
        <v>62764440.630000003</v>
      </c>
      <c r="G1318">
        <v>1069322.1200000001</v>
      </c>
    </row>
    <row r="1319" spans="1:7" x14ac:dyDescent="0.25">
      <c r="A1319" s="1">
        <v>45444</v>
      </c>
      <c r="B1319" t="s">
        <v>7</v>
      </c>
      <c r="C1319" t="s">
        <v>1425</v>
      </c>
      <c r="D1319" t="s">
        <v>1435</v>
      </c>
      <c r="E1319">
        <v>63166934.799999997</v>
      </c>
      <c r="F1319">
        <v>50246518.030000001</v>
      </c>
      <c r="G1319">
        <v>1587057.01</v>
      </c>
    </row>
    <row r="1320" spans="1:7" x14ac:dyDescent="0.25">
      <c r="A1320" s="1">
        <v>45413</v>
      </c>
      <c r="B1320" t="s">
        <v>7</v>
      </c>
      <c r="C1320" t="s">
        <v>1425</v>
      </c>
      <c r="D1320" t="s">
        <v>1436</v>
      </c>
      <c r="E1320">
        <v>50474289.25</v>
      </c>
      <c r="F1320">
        <v>47327239.700000003</v>
      </c>
      <c r="G1320">
        <v>939419.01</v>
      </c>
    </row>
    <row r="1321" spans="1:7" x14ac:dyDescent="0.25">
      <c r="A1321" s="1">
        <v>45597</v>
      </c>
      <c r="B1321" t="s">
        <v>7</v>
      </c>
      <c r="C1321" t="s">
        <v>1425</v>
      </c>
      <c r="D1321" t="s">
        <v>1437</v>
      </c>
      <c r="E1321">
        <v>71016779.959999993</v>
      </c>
      <c r="F1321">
        <v>56320873.030000001</v>
      </c>
      <c r="G1321">
        <v>69170.48</v>
      </c>
    </row>
    <row r="1322" spans="1:7" x14ac:dyDescent="0.25">
      <c r="A1322" s="1">
        <v>45444</v>
      </c>
      <c r="B1322" t="s">
        <v>7</v>
      </c>
      <c r="C1322" t="s">
        <v>1438</v>
      </c>
      <c r="D1322" t="s">
        <v>1439</v>
      </c>
      <c r="E1322">
        <v>33616499.609999999</v>
      </c>
      <c r="F1322">
        <v>29579428.609999999</v>
      </c>
      <c r="G1322">
        <v>944503.11</v>
      </c>
    </row>
    <row r="1323" spans="1:7" x14ac:dyDescent="0.25">
      <c r="A1323" s="1">
        <v>45323</v>
      </c>
      <c r="B1323" t="s">
        <v>7</v>
      </c>
      <c r="C1323" t="s">
        <v>1438</v>
      </c>
      <c r="D1323" t="s">
        <v>1440</v>
      </c>
      <c r="E1323">
        <v>24371316.809999999</v>
      </c>
      <c r="F1323">
        <v>22286181.710000001</v>
      </c>
      <c r="G1323">
        <v>9713861.1699999999</v>
      </c>
    </row>
    <row r="1324" spans="1:7" x14ac:dyDescent="0.25">
      <c r="A1324" s="1">
        <v>45597</v>
      </c>
      <c r="B1324" t="s">
        <v>7</v>
      </c>
      <c r="C1324" t="s">
        <v>1438</v>
      </c>
      <c r="D1324" t="s">
        <v>1441</v>
      </c>
      <c r="E1324">
        <v>43103491.700000003</v>
      </c>
      <c r="F1324">
        <v>34262213.159999996</v>
      </c>
      <c r="G1324">
        <v>204334.64</v>
      </c>
    </row>
    <row r="1325" spans="1:7" x14ac:dyDescent="0.25">
      <c r="A1325" s="1">
        <v>45383</v>
      </c>
      <c r="B1325" t="s">
        <v>7</v>
      </c>
      <c r="C1325" t="s">
        <v>1438</v>
      </c>
      <c r="D1325" t="s">
        <v>1442</v>
      </c>
      <c r="E1325">
        <v>26282689.27</v>
      </c>
      <c r="F1325">
        <v>26776877.579999998</v>
      </c>
      <c r="G1325">
        <v>1547522.84</v>
      </c>
    </row>
    <row r="1326" spans="1:7" x14ac:dyDescent="0.25">
      <c r="A1326" s="1">
        <v>45413</v>
      </c>
      <c r="B1326" t="s">
        <v>7</v>
      </c>
      <c r="C1326" t="s">
        <v>1438</v>
      </c>
      <c r="D1326" t="s">
        <v>1443</v>
      </c>
      <c r="E1326">
        <v>29662917.210000001</v>
      </c>
      <c r="F1326">
        <v>27318870.300000001</v>
      </c>
      <c r="G1326">
        <v>1366799.12</v>
      </c>
    </row>
    <row r="1327" spans="1:7" x14ac:dyDescent="0.25">
      <c r="A1327" s="1">
        <v>45292</v>
      </c>
      <c r="B1327" t="s">
        <v>7</v>
      </c>
      <c r="C1327" t="s">
        <v>1438</v>
      </c>
      <c r="D1327" t="s">
        <v>1444</v>
      </c>
      <c r="E1327">
        <v>24969154.41</v>
      </c>
      <c r="F1327">
        <v>5241944.0999999996</v>
      </c>
      <c r="G1327">
        <v>29988630.420000002</v>
      </c>
    </row>
    <row r="1328" spans="1:7" x14ac:dyDescent="0.25">
      <c r="A1328" s="1">
        <v>45566</v>
      </c>
      <c r="B1328" t="s">
        <v>7</v>
      </c>
      <c r="C1328" t="s">
        <v>1438</v>
      </c>
      <c r="D1328" t="s">
        <v>1445</v>
      </c>
      <c r="E1328">
        <v>29538597.539999999</v>
      </c>
      <c r="F1328">
        <v>30484272.219999999</v>
      </c>
      <c r="G1328">
        <v>363383.9</v>
      </c>
    </row>
    <row r="1329" spans="1:7" x14ac:dyDescent="0.25">
      <c r="A1329" s="1">
        <v>45627</v>
      </c>
      <c r="B1329" t="s">
        <v>7</v>
      </c>
      <c r="C1329" t="s">
        <v>1438</v>
      </c>
      <c r="D1329" t="s">
        <v>1446</v>
      </c>
      <c r="E1329">
        <v>37722756.909999996</v>
      </c>
      <c r="F1329">
        <v>36899068.590000004</v>
      </c>
      <c r="G1329">
        <v>214321.77</v>
      </c>
    </row>
    <row r="1330" spans="1:7" x14ac:dyDescent="0.25">
      <c r="A1330" s="1">
        <v>45505</v>
      </c>
      <c r="B1330" t="s">
        <v>7</v>
      </c>
      <c r="C1330" t="s">
        <v>1438</v>
      </c>
      <c r="D1330" t="s">
        <v>1447</v>
      </c>
      <c r="E1330">
        <v>27634302.34</v>
      </c>
      <c r="F1330">
        <v>28446106.859999999</v>
      </c>
      <c r="G1330">
        <v>481953.5</v>
      </c>
    </row>
    <row r="1331" spans="1:7" x14ac:dyDescent="0.25">
      <c r="A1331" s="1">
        <v>45474</v>
      </c>
      <c r="B1331" t="s">
        <v>7</v>
      </c>
      <c r="C1331" t="s">
        <v>1438</v>
      </c>
      <c r="D1331" t="s">
        <v>1448</v>
      </c>
      <c r="E1331">
        <v>29141686.920000002</v>
      </c>
      <c r="F1331">
        <v>34035429.340000004</v>
      </c>
      <c r="G1331">
        <v>1458475.64</v>
      </c>
    </row>
    <row r="1332" spans="1:7" x14ac:dyDescent="0.25">
      <c r="A1332" s="1">
        <v>45352</v>
      </c>
      <c r="B1332" t="s">
        <v>7</v>
      </c>
      <c r="C1332" t="s">
        <v>1438</v>
      </c>
      <c r="D1332" t="s">
        <v>1449</v>
      </c>
      <c r="E1332">
        <v>26728436.969999999</v>
      </c>
      <c r="F1332">
        <v>25526715.91</v>
      </c>
      <c r="G1332">
        <v>2305852.71</v>
      </c>
    </row>
    <row r="1333" spans="1:7" x14ac:dyDescent="0.25">
      <c r="A1333" s="1">
        <v>45536</v>
      </c>
      <c r="B1333" t="s">
        <v>7</v>
      </c>
      <c r="C1333" t="s">
        <v>1438</v>
      </c>
      <c r="D1333" t="s">
        <v>1450</v>
      </c>
      <c r="E1333">
        <v>30121685.43</v>
      </c>
      <c r="F1333">
        <v>28829239.609999999</v>
      </c>
      <c r="G1333">
        <v>557166.97</v>
      </c>
    </row>
    <row r="1334" spans="1:7" x14ac:dyDescent="0.25">
      <c r="A1334" s="1">
        <v>45444</v>
      </c>
      <c r="B1334" t="s">
        <v>7</v>
      </c>
      <c r="C1334" t="s">
        <v>1451</v>
      </c>
      <c r="D1334" t="s">
        <v>1452</v>
      </c>
      <c r="E1334">
        <v>277609656.38</v>
      </c>
      <c r="F1334">
        <v>225567776.59999999</v>
      </c>
      <c r="G1334">
        <v>2537433.1800000002</v>
      </c>
    </row>
    <row r="1335" spans="1:7" x14ac:dyDescent="0.25">
      <c r="A1335" s="1">
        <v>45323</v>
      </c>
      <c r="B1335" t="s">
        <v>7</v>
      </c>
      <c r="C1335" t="s">
        <v>1451</v>
      </c>
      <c r="D1335" t="s">
        <v>1453</v>
      </c>
      <c r="E1335">
        <v>190170451.91</v>
      </c>
      <c r="F1335">
        <v>194596531.50999999</v>
      </c>
      <c r="G1335">
        <v>29099431.600000001</v>
      </c>
    </row>
    <row r="1336" spans="1:7" x14ac:dyDescent="0.25">
      <c r="A1336" s="1">
        <v>45292</v>
      </c>
      <c r="B1336" t="s">
        <v>7</v>
      </c>
      <c r="C1336" t="s">
        <v>1451</v>
      </c>
      <c r="D1336" t="s">
        <v>1454</v>
      </c>
      <c r="E1336">
        <v>209279326.19</v>
      </c>
      <c r="F1336">
        <v>52524532.219999999</v>
      </c>
      <c r="G1336">
        <v>184498940.84999999</v>
      </c>
    </row>
    <row r="1337" spans="1:7" x14ac:dyDescent="0.25">
      <c r="A1337" s="1">
        <v>45413</v>
      </c>
      <c r="B1337" t="s">
        <v>7</v>
      </c>
      <c r="C1337" t="s">
        <v>1451</v>
      </c>
      <c r="D1337" t="s">
        <v>1455</v>
      </c>
      <c r="E1337">
        <v>233842648.87</v>
      </c>
      <c r="F1337">
        <v>214404999.63999999</v>
      </c>
      <c r="G1337">
        <v>15879030.039999999</v>
      </c>
    </row>
    <row r="1338" spans="1:7" x14ac:dyDescent="0.25">
      <c r="A1338" s="1">
        <v>45536</v>
      </c>
      <c r="B1338" t="s">
        <v>7</v>
      </c>
      <c r="C1338" t="s">
        <v>1451</v>
      </c>
      <c r="D1338" t="s">
        <v>1456</v>
      </c>
      <c r="E1338">
        <v>206852939.50999999</v>
      </c>
      <c r="F1338">
        <v>204948383.53999999</v>
      </c>
      <c r="G1338">
        <v>847660.34</v>
      </c>
    </row>
    <row r="1339" spans="1:7" x14ac:dyDescent="0.25">
      <c r="A1339" s="1">
        <v>45505</v>
      </c>
      <c r="B1339" t="s">
        <v>7</v>
      </c>
      <c r="C1339" t="s">
        <v>1451</v>
      </c>
      <c r="D1339" t="s">
        <v>1457</v>
      </c>
      <c r="E1339">
        <v>213321350.34999999</v>
      </c>
      <c r="F1339">
        <v>213414080.84999999</v>
      </c>
      <c r="G1339">
        <v>1969320.4</v>
      </c>
    </row>
    <row r="1340" spans="1:7" x14ac:dyDescent="0.25">
      <c r="A1340" s="1">
        <v>45627</v>
      </c>
      <c r="B1340" t="s">
        <v>7</v>
      </c>
      <c r="C1340" t="s">
        <v>1451</v>
      </c>
      <c r="D1340" t="s">
        <v>1458</v>
      </c>
      <c r="E1340">
        <v>246795917.13999999</v>
      </c>
      <c r="F1340">
        <v>270188145.86000001</v>
      </c>
      <c r="G1340">
        <v>4337701.46</v>
      </c>
    </row>
    <row r="1341" spans="1:7" x14ac:dyDescent="0.25">
      <c r="A1341" s="1">
        <v>45352</v>
      </c>
      <c r="B1341" t="s">
        <v>7</v>
      </c>
      <c r="C1341" t="s">
        <v>1451</v>
      </c>
      <c r="D1341" t="s">
        <v>1459</v>
      </c>
      <c r="E1341">
        <v>198814587.59</v>
      </c>
      <c r="F1341">
        <v>196572258.99000001</v>
      </c>
      <c r="G1341">
        <v>8238009.5300000003</v>
      </c>
    </row>
    <row r="1342" spans="1:7" x14ac:dyDescent="0.25">
      <c r="A1342" s="1">
        <v>45383</v>
      </c>
      <c r="B1342" t="s">
        <v>7</v>
      </c>
      <c r="C1342" t="s">
        <v>1451</v>
      </c>
      <c r="D1342" t="s">
        <v>1460</v>
      </c>
      <c r="E1342">
        <v>208467512.56999999</v>
      </c>
      <c r="F1342">
        <v>195039180.38</v>
      </c>
      <c r="G1342">
        <v>4840472.0599999996</v>
      </c>
    </row>
    <row r="1343" spans="1:7" x14ac:dyDescent="0.25">
      <c r="A1343" s="1">
        <v>45566</v>
      </c>
      <c r="B1343" t="s">
        <v>7</v>
      </c>
      <c r="C1343" t="s">
        <v>1451</v>
      </c>
      <c r="D1343" t="s">
        <v>1461</v>
      </c>
      <c r="E1343">
        <v>216085733.62</v>
      </c>
      <c r="F1343">
        <v>213675025.06</v>
      </c>
      <c r="G1343">
        <v>849256.8</v>
      </c>
    </row>
    <row r="1344" spans="1:7" x14ac:dyDescent="0.25">
      <c r="A1344" s="1">
        <v>45474</v>
      </c>
      <c r="B1344" t="s">
        <v>7</v>
      </c>
      <c r="C1344" t="s">
        <v>1451</v>
      </c>
      <c r="D1344" t="s">
        <v>1462</v>
      </c>
      <c r="E1344">
        <v>206134273.88</v>
      </c>
      <c r="F1344">
        <v>282402984.31</v>
      </c>
      <c r="G1344">
        <v>3435130.36</v>
      </c>
    </row>
    <row r="1345" spans="1:7" x14ac:dyDescent="0.25">
      <c r="A1345" s="1">
        <v>45597</v>
      </c>
      <c r="B1345" t="s">
        <v>7</v>
      </c>
      <c r="C1345" t="s">
        <v>1451</v>
      </c>
      <c r="D1345" t="s">
        <v>1463</v>
      </c>
      <c r="E1345">
        <v>305707236.14999998</v>
      </c>
      <c r="F1345">
        <v>238466822.69999999</v>
      </c>
      <c r="G1345">
        <v>649450.54</v>
      </c>
    </row>
    <row r="1346" spans="1:7" x14ac:dyDescent="0.25">
      <c r="A1346" s="1">
        <v>45627</v>
      </c>
      <c r="B1346" t="s">
        <v>7</v>
      </c>
      <c r="C1346" t="s">
        <v>1464</v>
      </c>
      <c r="D1346" t="s">
        <v>1465</v>
      </c>
      <c r="E1346">
        <v>30271827.489999998</v>
      </c>
      <c r="F1346">
        <v>33837099.049999997</v>
      </c>
      <c r="G1346">
        <v>893345.07</v>
      </c>
    </row>
    <row r="1347" spans="1:7" x14ac:dyDescent="0.25">
      <c r="A1347" s="1">
        <v>45597</v>
      </c>
      <c r="B1347" t="s">
        <v>7</v>
      </c>
      <c r="C1347" t="s">
        <v>1464</v>
      </c>
      <c r="D1347" t="s">
        <v>1466</v>
      </c>
      <c r="E1347">
        <v>37203754.899999999</v>
      </c>
      <c r="F1347">
        <v>27930616.989999998</v>
      </c>
      <c r="G1347">
        <v>1510182.99</v>
      </c>
    </row>
    <row r="1348" spans="1:7" x14ac:dyDescent="0.25">
      <c r="A1348" s="1">
        <v>45292</v>
      </c>
      <c r="B1348" t="s">
        <v>7</v>
      </c>
      <c r="C1348" t="s">
        <v>1464</v>
      </c>
      <c r="D1348" t="s">
        <v>1467</v>
      </c>
      <c r="E1348">
        <v>20566785.890000001</v>
      </c>
      <c r="F1348">
        <v>3840295.97</v>
      </c>
      <c r="G1348">
        <v>24004820.289999999</v>
      </c>
    </row>
    <row r="1349" spans="1:7" x14ac:dyDescent="0.25">
      <c r="A1349" s="1">
        <v>45444</v>
      </c>
      <c r="B1349" t="s">
        <v>7</v>
      </c>
      <c r="C1349" t="s">
        <v>1464</v>
      </c>
      <c r="D1349" t="s">
        <v>1468</v>
      </c>
      <c r="E1349">
        <v>31298621.050000001</v>
      </c>
      <c r="F1349">
        <v>25109996.469999999</v>
      </c>
      <c r="G1349">
        <v>599859.16</v>
      </c>
    </row>
    <row r="1350" spans="1:7" x14ac:dyDescent="0.25">
      <c r="A1350" s="1">
        <v>45413</v>
      </c>
      <c r="B1350" t="s">
        <v>7</v>
      </c>
      <c r="C1350" t="s">
        <v>1464</v>
      </c>
      <c r="D1350" t="s">
        <v>1469</v>
      </c>
      <c r="E1350">
        <v>24735421.219999999</v>
      </c>
      <c r="F1350">
        <v>25163387.120000001</v>
      </c>
      <c r="G1350">
        <v>396738.07</v>
      </c>
    </row>
    <row r="1351" spans="1:7" x14ac:dyDescent="0.25">
      <c r="A1351" s="1">
        <v>45566</v>
      </c>
      <c r="B1351" t="s">
        <v>7</v>
      </c>
      <c r="C1351" t="s">
        <v>1464</v>
      </c>
      <c r="D1351" t="s">
        <v>1470</v>
      </c>
      <c r="E1351">
        <v>24429144.699999999</v>
      </c>
      <c r="F1351">
        <v>24690445.370000001</v>
      </c>
      <c r="G1351">
        <v>264867.90000000002</v>
      </c>
    </row>
    <row r="1352" spans="1:7" x14ac:dyDescent="0.25">
      <c r="A1352" s="1">
        <v>45323</v>
      </c>
      <c r="B1352" t="s">
        <v>7</v>
      </c>
      <c r="C1352" t="s">
        <v>1464</v>
      </c>
      <c r="D1352" t="s">
        <v>1471</v>
      </c>
      <c r="E1352">
        <v>20947370.370000001</v>
      </c>
      <c r="F1352">
        <v>18450236.359999999</v>
      </c>
      <c r="G1352">
        <v>6337241.5999999996</v>
      </c>
    </row>
    <row r="1353" spans="1:7" x14ac:dyDescent="0.25">
      <c r="A1353" s="1">
        <v>45536</v>
      </c>
      <c r="B1353" t="s">
        <v>7</v>
      </c>
      <c r="C1353" t="s">
        <v>1464</v>
      </c>
      <c r="D1353" t="s">
        <v>1472</v>
      </c>
      <c r="E1353">
        <v>24632836.030000001</v>
      </c>
      <c r="F1353">
        <v>24836203.890000001</v>
      </c>
      <c r="G1353">
        <v>278019.58</v>
      </c>
    </row>
    <row r="1354" spans="1:7" x14ac:dyDescent="0.25">
      <c r="A1354" s="1">
        <v>45474</v>
      </c>
      <c r="B1354" t="s">
        <v>7</v>
      </c>
      <c r="C1354" t="s">
        <v>1464</v>
      </c>
      <c r="D1354" t="s">
        <v>1473</v>
      </c>
      <c r="E1354">
        <v>23929484.780000001</v>
      </c>
      <c r="F1354">
        <v>30926303.09</v>
      </c>
      <c r="G1354">
        <v>253907.16</v>
      </c>
    </row>
    <row r="1355" spans="1:7" x14ac:dyDescent="0.25">
      <c r="A1355" s="1">
        <v>45383</v>
      </c>
      <c r="B1355" t="s">
        <v>7</v>
      </c>
      <c r="C1355" t="s">
        <v>1464</v>
      </c>
      <c r="D1355" t="s">
        <v>1474</v>
      </c>
      <c r="E1355">
        <v>24485394.5</v>
      </c>
      <c r="F1355">
        <v>23257908.670000002</v>
      </c>
      <c r="G1355">
        <v>1959988.76</v>
      </c>
    </row>
    <row r="1356" spans="1:7" x14ac:dyDescent="0.25">
      <c r="A1356" s="1">
        <v>45505</v>
      </c>
      <c r="B1356" t="s">
        <v>7</v>
      </c>
      <c r="C1356" t="s">
        <v>1464</v>
      </c>
      <c r="D1356" t="s">
        <v>1475</v>
      </c>
      <c r="E1356">
        <v>24795450.800000001</v>
      </c>
      <c r="F1356">
        <v>24113380.390000001</v>
      </c>
      <c r="G1356">
        <v>348533.5</v>
      </c>
    </row>
    <row r="1357" spans="1:7" x14ac:dyDescent="0.25">
      <c r="A1357" s="1">
        <v>45352</v>
      </c>
      <c r="B1357" t="s">
        <v>7</v>
      </c>
      <c r="C1357" t="s">
        <v>1464</v>
      </c>
      <c r="D1357" t="s">
        <v>1476</v>
      </c>
      <c r="E1357">
        <v>23056709.829999998</v>
      </c>
      <c r="F1357">
        <v>22124911</v>
      </c>
      <c r="G1357">
        <v>893741.8</v>
      </c>
    </row>
    <row r="1358" spans="1:7" x14ac:dyDescent="0.25">
      <c r="A1358" s="1">
        <v>45566</v>
      </c>
      <c r="B1358" t="s">
        <v>7</v>
      </c>
      <c r="C1358" t="s">
        <v>1477</v>
      </c>
      <c r="D1358" t="s">
        <v>1478</v>
      </c>
      <c r="E1358">
        <v>59118205.590000004</v>
      </c>
      <c r="F1358">
        <v>59553712.020000003</v>
      </c>
      <c r="G1358">
        <v>2368954.09</v>
      </c>
    </row>
    <row r="1359" spans="1:7" x14ac:dyDescent="0.25">
      <c r="A1359" s="1">
        <v>45323</v>
      </c>
      <c r="B1359" t="s">
        <v>7</v>
      </c>
      <c r="C1359" t="s">
        <v>1477</v>
      </c>
      <c r="D1359" t="s">
        <v>1479</v>
      </c>
      <c r="E1359">
        <v>53434486.509999998</v>
      </c>
      <c r="F1359">
        <v>46125737</v>
      </c>
      <c r="G1359">
        <v>14825838.26</v>
      </c>
    </row>
    <row r="1360" spans="1:7" x14ac:dyDescent="0.25">
      <c r="A1360" s="1">
        <v>45536</v>
      </c>
      <c r="B1360" t="s">
        <v>7</v>
      </c>
      <c r="C1360" t="s">
        <v>1477</v>
      </c>
      <c r="D1360" t="s">
        <v>1480</v>
      </c>
      <c r="E1360">
        <v>66025017.100000001</v>
      </c>
      <c r="F1360">
        <v>64227830.899999999</v>
      </c>
      <c r="G1360">
        <v>3361366.82</v>
      </c>
    </row>
    <row r="1361" spans="1:7" x14ac:dyDescent="0.25">
      <c r="A1361" s="1">
        <v>45505</v>
      </c>
      <c r="B1361" t="s">
        <v>7</v>
      </c>
      <c r="C1361" t="s">
        <v>1477</v>
      </c>
      <c r="D1361" t="s">
        <v>1481</v>
      </c>
      <c r="E1361">
        <v>60978296.560000002</v>
      </c>
      <c r="F1361">
        <v>62560200.789999999</v>
      </c>
      <c r="G1361">
        <v>9320742.5399999991</v>
      </c>
    </row>
    <row r="1362" spans="1:7" x14ac:dyDescent="0.25">
      <c r="A1362" s="1">
        <v>45292</v>
      </c>
      <c r="B1362" t="s">
        <v>7</v>
      </c>
      <c r="C1362" t="s">
        <v>1477</v>
      </c>
      <c r="D1362" t="s">
        <v>1482</v>
      </c>
      <c r="E1362">
        <v>51394488.850000001</v>
      </c>
      <c r="F1362">
        <v>10313355.960000001</v>
      </c>
      <c r="G1362">
        <v>62523325.719999999</v>
      </c>
    </row>
    <row r="1363" spans="1:7" x14ac:dyDescent="0.25">
      <c r="A1363" s="1">
        <v>45474</v>
      </c>
      <c r="B1363" t="s">
        <v>7</v>
      </c>
      <c r="C1363" t="s">
        <v>1477</v>
      </c>
      <c r="D1363" t="s">
        <v>1483</v>
      </c>
      <c r="E1363">
        <v>57578480.990000002</v>
      </c>
      <c r="F1363">
        <v>69825430.359999999</v>
      </c>
      <c r="G1363">
        <v>898718.78</v>
      </c>
    </row>
    <row r="1364" spans="1:7" x14ac:dyDescent="0.25">
      <c r="A1364" s="1">
        <v>45352</v>
      </c>
      <c r="B1364" t="s">
        <v>7</v>
      </c>
      <c r="C1364" t="s">
        <v>1477</v>
      </c>
      <c r="D1364" t="s">
        <v>1484</v>
      </c>
      <c r="E1364">
        <v>55713000.170000002</v>
      </c>
      <c r="F1364">
        <v>55021464.770000003</v>
      </c>
      <c r="G1364">
        <v>5176068.57</v>
      </c>
    </row>
    <row r="1365" spans="1:7" x14ac:dyDescent="0.25">
      <c r="A1365" s="1">
        <v>45444</v>
      </c>
      <c r="B1365" t="s">
        <v>7</v>
      </c>
      <c r="C1365" t="s">
        <v>1477</v>
      </c>
      <c r="D1365" t="s">
        <v>1485</v>
      </c>
      <c r="E1365">
        <v>73870967.829999998</v>
      </c>
      <c r="F1365">
        <v>60697708.329999998</v>
      </c>
      <c r="G1365">
        <v>1125101.08</v>
      </c>
    </row>
    <row r="1366" spans="1:7" x14ac:dyDescent="0.25">
      <c r="A1366" s="1">
        <v>45597</v>
      </c>
      <c r="B1366" t="s">
        <v>7</v>
      </c>
      <c r="C1366" t="s">
        <v>1477</v>
      </c>
      <c r="D1366" t="s">
        <v>1486</v>
      </c>
      <c r="E1366">
        <v>90965199.5</v>
      </c>
      <c r="F1366">
        <v>69913719.120000005</v>
      </c>
      <c r="G1366">
        <v>212408.81</v>
      </c>
    </row>
    <row r="1367" spans="1:7" x14ac:dyDescent="0.25">
      <c r="A1367" s="1">
        <v>45627</v>
      </c>
      <c r="B1367" t="s">
        <v>7</v>
      </c>
      <c r="C1367" t="s">
        <v>1477</v>
      </c>
      <c r="D1367" t="s">
        <v>1487</v>
      </c>
      <c r="E1367">
        <v>74505373.719999999</v>
      </c>
      <c r="F1367">
        <v>75951410.219999999</v>
      </c>
      <c r="G1367">
        <v>2825039.63</v>
      </c>
    </row>
    <row r="1368" spans="1:7" x14ac:dyDescent="0.25">
      <c r="A1368" s="1">
        <v>45413</v>
      </c>
      <c r="B1368" t="s">
        <v>7</v>
      </c>
      <c r="C1368" t="s">
        <v>1477</v>
      </c>
      <c r="D1368" t="s">
        <v>1488</v>
      </c>
      <c r="E1368">
        <v>58631440.409999996</v>
      </c>
      <c r="F1368">
        <v>56765346.75</v>
      </c>
      <c r="G1368">
        <v>1441143.5</v>
      </c>
    </row>
    <row r="1369" spans="1:7" x14ac:dyDescent="0.25">
      <c r="A1369" s="1">
        <v>45383</v>
      </c>
      <c r="B1369" t="s">
        <v>7</v>
      </c>
      <c r="C1369" t="s">
        <v>1477</v>
      </c>
      <c r="D1369" t="s">
        <v>1489</v>
      </c>
      <c r="E1369">
        <v>57817534.390000001</v>
      </c>
      <c r="F1369">
        <v>56978867.799999997</v>
      </c>
      <c r="G1369">
        <v>4214437.83</v>
      </c>
    </row>
    <row r="1370" spans="1:7" x14ac:dyDescent="0.25">
      <c r="A1370" s="1">
        <v>45352</v>
      </c>
      <c r="B1370" t="s">
        <v>7</v>
      </c>
      <c r="C1370" t="s">
        <v>1490</v>
      </c>
      <c r="D1370" t="s">
        <v>1491</v>
      </c>
      <c r="E1370">
        <v>57011835.530000001</v>
      </c>
      <c r="F1370">
        <v>58664274.119999997</v>
      </c>
      <c r="G1370">
        <v>3189460.21</v>
      </c>
    </row>
    <row r="1371" spans="1:7" x14ac:dyDescent="0.25">
      <c r="A1371" s="1">
        <v>45444</v>
      </c>
      <c r="B1371" t="s">
        <v>7</v>
      </c>
      <c r="C1371" t="s">
        <v>1490</v>
      </c>
      <c r="D1371" t="s">
        <v>1492</v>
      </c>
      <c r="E1371">
        <v>81493255.180000007</v>
      </c>
      <c r="F1371">
        <v>67259572.269999996</v>
      </c>
      <c r="G1371">
        <v>1538163.94</v>
      </c>
    </row>
    <row r="1372" spans="1:7" x14ac:dyDescent="0.25">
      <c r="A1372" s="1">
        <v>45413</v>
      </c>
      <c r="B1372" t="s">
        <v>7</v>
      </c>
      <c r="C1372" t="s">
        <v>1490</v>
      </c>
      <c r="D1372" t="s">
        <v>1493</v>
      </c>
      <c r="E1372">
        <v>67024562.950000003</v>
      </c>
      <c r="F1372">
        <v>65359322.670000002</v>
      </c>
      <c r="G1372">
        <v>5511371.1799999997</v>
      </c>
    </row>
    <row r="1373" spans="1:7" x14ac:dyDescent="0.25">
      <c r="A1373" s="1">
        <v>45323</v>
      </c>
      <c r="B1373" t="s">
        <v>7</v>
      </c>
      <c r="C1373" t="s">
        <v>1490</v>
      </c>
      <c r="D1373" t="s">
        <v>1494</v>
      </c>
      <c r="E1373">
        <v>61140446.659999996</v>
      </c>
      <c r="F1373">
        <v>60663685.850000001</v>
      </c>
      <c r="G1373">
        <v>1955615.37</v>
      </c>
    </row>
    <row r="1374" spans="1:7" x14ac:dyDescent="0.25">
      <c r="A1374" s="1">
        <v>45383</v>
      </c>
      <c r="B1374" t="s">
        <v>7</v>
      </c>
      <c r="C1374" t="s">
        <v>1490</v>
      </c>
      <c r="D1374" t="s">
        <v>1495</v>
      </c>
      <c r="E1374">
        <v>65753034.909999996</v>
      </c>
      <c r="F1374">
        <v>59952952.140000001</v>
      </c>
      <c r="G1374">
        <v>1788089.46</v>
      </c>
    </row>
    <row r="1375" spans="1:7" x14ac:dyDescent="0.25">
      <c r="A1375" s="1">
        <v>45505</v>
      </c>
      <c r="B1375" t="s">
        <v>7</v>
      </c>
      <c r="C1375" t="s">
        <v>1490</v>
      </c>
      <c r="D1375" t="s">
        <v>1496</v>
      </c>
      <c r="E1375">
        <v>64565370.189999998</v>
      </c>
      <c r="F1375">
        <v>62436596.159999996</v>
      </c>
      <c r="G1375">
        <v>962676.39</v>
      </c>
    </row>
    <row r="1376" spans="1:7" x14ac:dyDescent="0.25">
      <c r="A1376" s="1">
        <v>45597</v>
      </c>
      <c r="B1376" t="s">
        <v>7</v>
      </c>
      <c r="C1376" t="s">
        <v>1490</v>
      </c>
      <c r="D1376" t="s">
        <v>1497</v>
      </c>
      <c r="E1376">
        <v>91375666.340000004</v>
      </c>
      <c r="F1376">
        <v>74771442.319999993</v>
      </c>
      <c r="G1376">
        <v>4152757.36</v>
      </c>
    </row>
    <row r="1377" spans="1:7" x14ac:dyDescent="0.25">
      <c r="A1377" s="1">
        <v>45566</v>
      </c>
      <c r="B1377" t="s">
        <v>7</v>
      </c>
      <c r="C1377" t="s">
        <v>1490</v>
      </c>
      <c r="D1377" t="s">
        <v>1498</v>
      </c>
      <c r="E1377">
        <v>63298762.710000001</v>
      </c>
      <c r="F1377">
        <v>64077359.579999998</v>
      </c>
      <c r="G1377">
        <v>203137.58</v>
      </c>
    </row>
    <row r="1378" spans="1:7" x14ac:dyDescent="0.25">
      <c r="A1378" s="1">
        <v>45627</v>
      </c>
      <c r="B1378" t="s">
        <v>7</v>
      </c>
      <c r="C1378" t="s">
        <v>1490</v>
      </c>
      <c r="D1378" t="s">
        <v>1499</v>
      </c>
      <c r="E1378">
        <v>86528053.510000005</v>
      </c>
      <c r="F1378">
        <v>92211883.109999999</v>
      </c>
      <c r="G1378">
        <v>1173747.03</v>
      </c>
    </row>
    <row r="1379" spans="1:7" x14ac:dyDescent="0.25">
      <c r="A1379" s="1">
        <v>45536</v>
      </c>
      <c r="B1379" t="s">
        <v>7</v>
      </c>
      <c r="C1379" t="s">
        <v>1490</v>
      </c>
      <c r="D1379" t="s">
        <v>1500</v>
      </c>
      <c r="E1379">
        <v>66054295.560000002</v>
      </c>
      <c r="F1379">
        <v>64666825.950000003</v>
      </c>
      <c r="G1379">
        <v>4600692.54</v>
      </c>
    </row>
    <row r="1380" spans="1:7" x14ac:dyDescent="0.25">
      <c r="A1380" s="1">
        <v>45292</v>
      </c>
      <c r="B1380" t="s">
        <v>7</v>
      </c>
      <c r="C1380" t="s">
        <v>1490</v>
      </c>
      <c r="D1380" t="s">
        <v>1501</v>
      </c>
      <c r="E1380">
        <v>52206947.210000001</v>
      </c>
      <c r="F1380">
        <v>5277580.78</v>
      </c>
      <c r="G1380">
        <v>71607189.930000007</v>
      </c>
    </row>
    <row r="1381" spans="1:7" x14ac:dyDescent="0.25">
      <c r="A1381" s="1">
        <v>45474</v>
      </c>
      <c r="B1381" t="s">
        <v>7</v>
      </c>
      <c r="C1381" t="s">
        <v>1490</v>
      </c>
      <c r="D1381" t="s">
        <v>1502</v>
      </c>
      <c r="E1381">
        <v>67316948.290000007</v>
      </c>
      <c r="F1381">
        <v>84907810.040000007</v>
      </c>
      <c r="G1381">
        <v>1034422.6</v>
      </c>
    </row>
    <row r="1382" spans="1:7" x14ac:dyDescent="0.25">
      <c r="A1382" s="1">
        <v>45566</v>
      </c>
      <c r="B1382" t="s">
        <v>7</v>
      </c>
      <c r="C1382" t="s">
        <v>1503</v>
      </c>
      <c r="D1382" t="s">
        <v>1504</v>
      </c>
      <c r="E1382">
        <v>31556635.73</v>
      </c>
      <c r="F1382">
        <v>30799625.77</v>
      </c>
      <c r="G1382">
        <v>81372.399999999994</v>
      </c>
    </row>
    <row r="1383" spans="1:7" x14ac:dyDescent="0.25">
      <c r="A1383" s="1">
        <v>45323</v>
      </c>
      <c r="B1383" t="s">
        <v>7</v>
      </c>
      <c r="C1383" t="s">
        <v>1503</v>
      </c>
      <c r="D1383" t="s">
        <v>1505</v>
      </c>
      <c r="E1383">
        <v>28803348.91</v>
      </c>
      <c r="F1383">
        <v>25432109.510000002</v>
      </c>
      <c r="G1383">
        <v>4949300.6500000004</v>
      </c>
    </row>
    <row r="1384" spans="1:7" x14ac:dyDescent="0.25">
      <c r="A1384" s="1">
        <v>45352</v>
      </c>
      <c r="B1384" t="s">
        <v>7</v>
      </c>
      <c r="C1384" t="s">
        <v>1503</v>
      </c>
      <c r="D1384" t="s">
        <v>1506</v>
      </c>
      <c r="E1384">
        <v>28194550.800000001</v>
      </c>
      <c r="F1384">
        <v>28502852.190000001</v>
      </c>
      <c r="G1384">
        <v>822792.71</v>
      </c>
    </row>
    <row r="1385" spans="1:7" x14ac:dyDescent="0.25">
      <c r="A1385" s="1">
        <v>45597</v>
      </c>
      <c r="B1385" t="s">
        <v>7</v>
      </c>
      <c r="C1385" t="s">
        <v>1503</v>
      </c>
      <c r="D1385" t="s">
        <v>1507</v>
      </c>
      <c r="E1385">
        <v>44178801.479999997</v>
      </c>
      <c r="F1385">
        <v>36621890.939999998</v>
      </c>
      <c r="G1385">
        <v>47376.23</v>
      </c>
    </row>
    <row r="1386" spans="1:7" x14ac:dyDescent="0.25">
      <c r="A1386" s="1">
        <v>45474</v>
      </c>
      <c r="B1386" t="s">
        <v>7</v>
      </c>
      <c r="C1386" t="s">
        <v>1503</v>
      </c>
      <c r="D1386" t="s">
        <v>1508</v>
      </c>
      <c r="E1386">
        <v>29651492.609999999</v>
      </c>
      <c r="F1386">
        <v>35281102.060000002</v>
      </c>
      <c r="G1386">
        <v>106275.97</v>
      </c>
    </row>
    <row r="1387" spans="1:7" x14ac:dyDescent="0.25">
      <c r="A1387" s="1">
        <v>45505</v>
      </c>
      <c r="B1387" t="s">
        <v>7</v>
      </c>
      <c r="C1387" t="s">
        <v>1503</v>
      </c>
      <c r="D1387" t="s">
        <v>1509</v>
      </c>
      <c r="E1387">
        <v>33332289.190000001</v>
      </c>
      <c r="F1387">
        <v>30044555.379999999</v>
      </c>
      <c r="G1387">
        <v>85087.15</v>
      </c>
    </row>
    <row r="1388" spans="1:7" x14ac:dyDescent="0.25">
      <c r="A1388" s="1">
        <v>45444</v>
      </c>
      <c r="B1388" t="s">
        <v>7</v>
      </c>
      <c r="C1388" t="s">
        <v>1503</v>
      </c>
      <c r="D1388" t="s">
        <v>1510</v>
      </c>
      <c r="E1388">
        <v>36007889.149999999</v>
      </c>
      <c r="F1388">
        <v>31531030.530000001</v>
      </c>
      <c r="G1388">
        <v>227914.57</v>
      </c>
    </row>
    <row r="1389" spans="1:7" x14ac:dyDescent="0.25">
      <c r="A1389" s="1">
        <v>45627</v>
      </c>
      <c r="B1389" t="s">
        <v>7</v>
      </c>
      <c r="C1389" t="s">
        <v>1503</v>
      </c>
      <c r="D1389" t="s">
        <v>1511</v>
      </c>
      <c r="E1389">
        <v>39231058.710000001</v>
      </c>
      <c r="F1389">
        <v>43986097.109999999</v>
      </c>
      <c r="G1389">
        <v>40076.269999999997</v>
      </c>
    </row>
    <row r="1390" spans="1:7" x14ac:dyDescent="0.25">
      <c r="A1390" s="1">
        <v>45413</v>
      </c>
      <c r="B1390" t="s">
        <v>7</v>
      </c>
      <c r="C1390" t="s">
        <v>1503</v>
      </c>
      <c r="D1390" t="s">
        <v>1512</v>
      </c>
      <c r="E1390">
        <v>31837993.359999999</v>
      </c>
      <c r="F1390">
        <v>31797589.109999999</v>
      </c>
      <c r="G1390">
        <v>140057.82</v>
      </c>
    </row>
    <row r="1391" spans="1:7" x14ac:dyDescent="0.25">
      <c r="A1391" s="1">
        <v>45383</v>
      </c>
      <c r="B1391" t="s">
        <v>7</v>
      </c>
      <c r="C1391" t="s">
        <v>1503</v>
      </c>
      <c r="D1391" t="s">
        <v>1513</v>
      </c>
      <c r="E1391">
        <v>32333542.949999999</v>
      </c>
      <c r="F1391">
        <v>29347674.280000001</v>
      </c>
      <c r="G1391">
        <v>344236.02</v>
      </c>
    </row>
    <row r="1392" spans="1:7" x14ac:dyDescent="0.25">
      <c r="A1392" s="1">
        <v>45292</v>
      </c>
      <c r="B1392" t="s">
        <v>7</v>
      </c>
      <c r="C1392" t="s">
        <v>1503</v>
      </c>
      <c r="D1392" t="s">
        <v>1514</v>
      </c>
      <c r="E1392">
        <v>28600228.969999999</v>
      </c>
      <c r="F1392">
        <v>7160805.6100000003</v>
      </c>
      <c r="G1392">
        <v>30231084.690000001</v>
      </c>
    </row>
    <row r="1393" spans="1:7" x14ac:dyDescent="0.25">
      <c r="A1393" s="1">
        <v>45536</v>
      </c>
      <c r="B1393" t="s">
        <v>7</v>
      </c>
      <c r="C1393" t="s">
        <v>1503</v>
      </c>
      <c r="D1393" t="s">
        <v>1515</v>
      </c>
      <c r="E1393">
        <v>31010857.02</v>
      </c>
      <c r="F1393">
        <v>31283539.739999998</v>
      </c>
      <c r="G1393">
        <v>57028.83</v>
      </c>
    </row>
    <row r="1394" spans="1:7" x14ac:dyDescent="0.25">
      <c r="A1394" s="1">
        <v>45352</v>
      </c>
      <c r="B1394" t="s">
        <v>7</v>
      </c>
      <c r="C1394" t="s">
        <v>1516</v>
      </c>
      <c r="D1394" t="s">
        <v>1517</v>
      </c>
      <c r="E1394">
        <v>82569645.480000004</v>
      </c>
      <c r="F1394">
        <v>91169057.319999993</v>
      </c>
      <c r="G1394">
        <v>9277993.6300000008</v>
      </c>
    </row>
    <row r="1395" spans="1:7" x14ac:dyDescent="0.25">
      <c r="A1395" s="1">
        <v>45474</v>
      </c>
      <c r="B1395" t="s">
        <v>7</v>
      </c>
      <c r="C1395" t="s">
        <v>1516</v>
      </c>
      <c r="D1395" t="s">
        <v>1518</v>
      </c>
      <c r="E1395">
        <v>92787931.209999993</v>
      </c>
      <c r="F1395">
        <v>119781066.25</v>
      </c>
      <c r="G1395">
        <v>4607063.09</v>
      </c>
    </row>
    <row r="1396" spans="1:7" x14ac:dyDescent="0.25">
      <c r="A1396" s="1">
        <v>45383</v>
      </c>
      <c r="B1396" t="s">
        <v>7</v>
      </c>
      <c r="C1396" t="s">
        <v>1516</v>
      </c>
      <c r="D1396" t="s">
        <v>1519</v>
      </c>
      <c r="E1396">
        <v>85380932.25</v>
      </c>
      <c r="F1396">
        <v>83432178.329999998</v>
      </c>
      <c r="G1396">
        <v>11433486.34</v>
      </c>
    </row>
    <row r="1397" spans="1:7" x14ac:dyDescent="0.25">
      <c r="A1397" s="1">
        <v>45505</v>
      </c>
      <c r="B1397" t="s">
        <v>7</v>
      </c>
      <c r="C1397" t="s">
        <v>1516</v>
      </c>
      <c r="D1397" t="s">
        <v>1520</v>
      </c>
      <c r="E1397">
        <v>94627375.280000001</v>
      </c>
      <c r="F1397">
        <v>92176254.849999994</v>
      </c>
      <c r="G1397">
        <v>2613100.94</v>
      </c>
    </row>
    <row r="1398" spans="1:7" x14ac:dyDescent="0.25">
      <c r="A1398" s="1">
        <v>45566</v>
      </c>
      <c r="B1398" t="s">
        <v>7</v>
      </c>
      <c r="C1398" t="s">
        <v>1516</v>
      </c>
      <c r="D1398" t="s">
        <v>1521</v>
      </c>
      <c r="E1398">
        <v>96409091.579999998</v>
      </c>
      <c r="F1398">
        <v>80024499.159999996</v>
      </c>
      <c r="G1398">
        <v>4741611.1399999997</v>
      </c>
    </row>
    <row r="1399" spans="1:7" x14ac:dyDescent="0.25">
      <c r="A1399" s="1">
        <v>45413</v>
      </c>
      <c r="B1399" t="s">
        <v>7</v>
      </c>
      <c r="C1399" t="s">
        <v>1516</v>
      </c>
      <c r="D1399" t="s">
        <v>1522</v>
      </c>
      <c r="E1399">
        <v>95737289.379999995</v>
      </c>
      <c r="F1399">
        <v>79327848.480000004</v>
      </c>
      <c r="G1399">
        <v>8903754.6099999994</v>
      </c>
    </row>
    <row r="1400" spans="1:7" x14ac:dyDescent="0.25">
      <c r="A1400" s="1">
        <v>45597</v>
      </c>
      <c r="B1400" t="s">
        <v>7</v>
      </c>
      <c r="C1400" t="s">
        <v>1516</v>
      </c>
      <c r="D1400" t="s">
        <v>1523</v>
      </c>
      <c r="E1400">
        <v>143832240.71000001</v>
      </c>
      <c r="F1400">
        <v>129198864.42</v>
      </c>
      <c r="G1400">
        <v>1968068.91</v>
      </c>
    </row>
    <row r="1401" spans="1:7" x14ac:dyDescent="0.25">
      <c r="A1401" s="1">
        <v>45323</v>
      </c>
      <c r="B1401" t="s">
        <v>7</v>
      </c>
      <c r="C1401" t="s">
        <v>1516</v>
      </c>
      <c r="D1401" t="s">
        <v>1524</v>
      </c>
      <c r="E1401">
        <v>79724067.909999996</v>
      </c>
      <c r="F1401">
        <v>81466598.319999993</v>
      </c>
      <c r="G1401">
        <v>10939025.25</v>
      </c>
    </row>
    <row r="1402" spans="1:7" x14ac:dyDescent="0.25">
      <c r="A1402" s="1">
        <v>45627</v>
      </c>
      <c r="B1402" t="s">
        <v>7</v>
      </c>
      <c r="C1402" t="s">
        <v>1516</v>
      </c>
      <c r="D1402" t="s">
        <v>1525</v>
      </c>
      <c r="E1402">
        <v>129770168.23</v>
      </c>
      <c r="F1402">
        <v>133459675.04000001</v>
      </c>
      <c r="G1402">
        <v>3447674.03</v>
      </c>
    </row>
    <row r="1403" spans="1:7" x14ac:dyDescent="0.25">
      <c r="A1403" s="1">
        <v>45444</v>
      </c>
      <c r="B1403" t="s">
        <v>7</v>
      </c>
      <c r="C1403" t="s">
        <v>1516</v>
      </c>
      <c r="D1403" t="s">
        <v>1526</v>
      </c>
      <c r="E1403">
        <v>116712480.03</v>
      </c>
      <c r="F1403">
        <v>93753354.840000004</v>
      </c>
      <c r="G1403">
        <v>5336307.38</v>
      </c>
    </row>
    <row r="1404" spans="1:7" x14ac:dyDescent="0.25">
      <c r="A1404" s="1">
        <v>45536</v>
      </c>
      <c r="B1404" t="s">
        <v>7</v>
      </c>
      <c r="C1404" t="s">
        <v>1516</v>
      </c>
      <c r="D1404" t="s">
        <v>1527</v>
      </c>
      <c r="E1404">
        <v>95025508.659999996</v>
      </c>
      <c r="F1404">
        <v>94434010.209999993</v>
      </c>
      <c r="G1404">
        <v>3719026.57</v>
      </c>
    </row>
    <row r="1405" spans="1:7" x14ac:dyDescent="0.25">
      <c r="A1405" s="1">
        <v>45292</v>
      </c>
      <c r="B1405" t="s">
        <v>7</v>
      </c>
      <c r="C1405" t="s">
        <v>1516</v>
      </c>
      <c r="D1405" t="s">
        <v>1528</v>
      </c>
      <c r="E1405">
        <v>81560005.870000005</v>
      </c>
      <c r="F1405">
        <v>17954693.800000001</v>
      </c>
      <c r="G1405">
        <v>101454995.55</v>
      </c>
    </row>
  </sheetData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A6D7D3-5593-439A-A3F4-E37B182CC533}">
  <dimension ref="A1:B71"/>
  <sheetViews>
    <sheetView tabSelected="1" workbookViewId="0">
      <selection activeCell="D20" sqref="D20"/>
    </sheetView>
  </sheetViews>
  <sheetFormatPr defaultRowHeight="15" x14ac:dyDescent="0.25"/>
  <cols>
    <col min="1" max="1" width="70.5703125" bestFit="1" customWidth="1"/>
    <col min="2" max="2" width="23.28515625" bestFit="1" customWidth="1"/>
  </cols>
  <sheetData>
    <row r="1" spans="1:2" x14ac:dyDescent="0.25">
      <c r="A1" s="2" t="s">
        <v>1529</v>
      </c>
      <c r="B1" t="s">
        <v>1531</v>
      </c>
    </row>
    <row r="2" spans="1:2" x14ac:dyDescent="0.25">
      <c r="A2" s="3" t="s">
        <v>333</v>
      </c>
      <c r="B2">
        <v>330090552.37</v>
      </c>
    </row>
    <row r="3" spans="1:2" x14ac:dyDescent="0.25">
      <c r="A3" s="3" t="s">
        <v>957</v>
      </c>
      <c r="B3">
        <v>1185115616.22</v>
      </c>
    </row>
    <row r="4" spans="1:2" x14ac:dyDescent="0.25">
      <c r="A4" s="3" t="s">
        <v>905</v>
      </c>
      <c r="B4">
        <v>2296782766.3200002</v>
      </c>
    </row>
    <row r="5" spans="1:2" x14ac:dyDescent="0.25">
      <c r="A5" s="3" t="s">
        <v>1217</v>
      </c>
      <c r="B5">
        <v>1936073769.4499998</v>
      </c>
    </row>
    <row r="6" spans="1:2" x14ac:dyDescent="0.25">
      <c r="A6" s="3" t="s">
        <v>1243</v>
      </c>
      <c r="B6">
        <v>1263133746.5999999</v>
      </c>
    </row>
    <row r="7" spans="1:2" x14ac:dyDescent="0.25">
      <c r="A7" s="3" t="s">
        <v>1009</v>
      </c>
      <c r="B7">
        <v>1583383446.6700001</v>
      </c>
    </row>
    <row r="8" spans="1:2" x14ac:dyDescent="0.25">
      <c r="A8" s="3" t="s">
        <v>1451</v>
      </c>
      <c r="B8">
        <v>2713081634.1599998</v>
      </c>
    </row>
    <row r="9" spans="1:2" x14ac:dyDescent="0.25">
      <c r="A9" s="3" t="s">
        <v>1048</v>
      </c>
      <c r="B9">
        <v>1213109076.6799998</v>
      </c>
    </row>
    <row r="10" spans="1:2" x14ac:dyDescent="0.25">
      <c r="A10" s="3" t="s">
        <v>1074</v>
      </c>
      <c r="B10">
        <v>2870060902.4900002</v>
      </c>
    </row>
    <row r="11" spans="1:2" x14ac:dyDescent="0.25">
      <c r="A11" s="3" t="s">
        <v>1321</v>
      </c>
      <c r="B11">
        <v>1859000290.5899999</v>
      </c>
    </row>
    <row r="12" spans="1:2" x14ac:dyDescent="0.25">
      <c r="A12" s="3" t="s">
        <v>944</v>
      </c>
      <c r="B12">
        <v>2216550406.6700001</v>
      </c>
    </row>
    <row r="13" spans="1:2" x14ac:dyDescent="0.25">
      <c r="A13" s="3" t="s">
        <v>1308</v>
      </c>
      <c r="B13">
        <v>2175401751.23</v>
      </c>
    </row>
    <row r="14" spans="1:2" x14ac:dyDescent="0.25">
      <c r="A14" s="3" t="s">
        <v>1100</v>
      </c>
      <c r="B14">
        <v>2207923704.29</v>
      </c>
    </row>
    <row r="15" spans="1:2" x14ac:dyDescent="0.25">
      <c r="A15" s="3" t="s">
        <v>1373</v>
      </c>
      <c r="B15">
        <v>2126844274.23</v>
      </c>
    </row>
    <row r="16" spans="1:2" x14ac:dyDescent="0.25">
      <c r="A16" s="3" t="s">
        <v>1386</v>
      </c>
      <c r="B16">
        <v>2434683160.96</v>
      </c>
    </row>
    <row r="17" spans="1:2" x14ac:dyDescent="0.25">
      <c r="A17" s="3" t="s">
        <v>1347</v>
      </c>
      <c r="B17">
        <v>4513170441.8500004</v>
      </c>
    </row>
    <row r="18" spans="1:2" x14ac:dyDescent="0.25">
      <c r="A18" s="3" t="s">
        <v>1139</v>
      </c>
      <c r="B18">
        <v>2253891778.8499999</v>
      </c>
    </row>
    <row r="19" spans="1:2" x14ac:dyDescent="0.25">
      <c r="A19" s="3" t="s">
        <v>1152</v>
      </c>
      <c r="B19">
        <v>1735186114.2699997</v>
      </c>
    </row>
    <row r="20" spans="1:2" x14ac:dyDescent="0.25">
      <c r="A20" s="3" t="s">
        <v>1477</v>
      </c>
      <c r="B20">
        <v>760032491.62000012</v>
      </c>
    </row>
    <row r="21" spans="1:2" x14ac:dyDescent="0.25">
      <c r="A21" s="3" t="s">
        <v>1490</v>
      </c>
      <c r="B21">
        <v>823769179.03999996</v>
      </c>
    </row>
    <row r="22" spans="1:2" x14ac:dyDescent="0.25">
      <c r="A22" s="3" t="s">
        <v>1126</v>
      </c>
      <c r="B22">
        <v>309493509.35000002</v>
      </c>
    </row>
    <row r="23" spans="1:2" x14ac:dyDescent="0.25">
      <c r="A23" s="3" t="s">
        <v>320</v>
      </c>
      <c r="B23">
        <v>361668487.20000005</v>
      </c>
    </row>
    <row r="24" spans="1:2" x14ac:dyDescent="0.25">
      <c r="A24" s="3" t="s">
        <v>983</v>
      </c>
      <c r="B24">
        <v>925635643.38999987</v>
      </c>
    </row>
    <row r="25" spans="1:2" x14ac:dyDescent="0.25">
      <c r="A25" s="3" t="s">
        <v>1464</v>
      </c>
      <c r="B25">
        <v>310352801.56</v>
      </c>
    </row>
    <row r="26" spans="1:2" x14ac:dyDescent="0.25">
      <c r="A26" s="3" t="s">
        <v>1425</v>
      </c>
      <c r="B26">
        <v>612543268.80000007</v>
      </c>
    </row>
    <row r="27" spans="1:2" x14ac:dyDescent="0.25">
      <c r="A27" s="3" t="s">
        <v>1438</v>
      </c>
      <c r="B27">
        <v>362893535.12</v>
      </c>
    </row>
    <row r="28" spans="1:2" x14ac:dyDescent="0.25">
      <c r="A28" s="3" t="s">
        <v>1516</v>
      </c>
      <c r="B28">
        <v>1194136736.5900002</v>
      </c>
    </row>
    <row r="29" spans="1:2" x14ac:dyDescent="0.25">
      <c r="A29" s="3" t="s">
        <v>970</v>
      </c>
      <c r="B29">
        <v>305997522.79000002</v>
      </c>
    </row>
    <row r="30" spans="1:2" x14ac:dyDescent="0.25">
      <c r="A30" s="3" t="s">
        <v>1022</v>
      </c>
      <c r="B30">
        <v>283679655.19</v>
      </c>
    </row>
    <row r="31" spans="1:2" x14ac:dyDescent="0.25">
      <c r="A31" s="3" t="s">
        <v>1165</v>
      </c>
      <c r="B31">
        <v>1632073473.3399999</v>
      </c>
    </row>
    <row r="32" spans="1:2" x14ac:dyDescent="0.25">
      <c r="A32" s="3" t="s">
        <v>1061</v>
      </c>
      <c r="B32">
        <v>483996878.43000007</v>
      </c>
    </row>
    <row r="33" spans="1:2" x14ac:dyDescent="0.25">
      <c r="A33" s="3" t="s">
        <v>1503</v>
      </c>
      <c r="B33">
        <v>394738688.88000005</v>
      </c>
    </row>
    <row r="34" spans="1:2" x14ac:dyDescent="0.25">
      <c r="A34" s="3" t="s">
        <v>294</v>
      </c>
      <c r="B34">
        <v>433141458.24000001</v>
      </c>
    </row>
    <row r="35" spans="1:2" x14ac:dyDescent="0.25">
      <c r="A35" s="3" t="s">
        <v>931</v>
      </c>
      <c r="B35">
        <v>204996389.61000001</v>
      </c>
    </row>
    <row r="36" spans="1:2" x14ac:dyDescent="0.25">
      <c r="A36" s="3" t="s">
        <v>164</v>
      </c>
      <c r="B36">
        <v>360969726.77999997</v>
      </c>
    </row>
    <row r="37" spans="1:2" x14ac:dyDescent="0.25">
      <c r="A37" s="3" t="s">
        <v>1256</v>
      </c>
      <c r="B37">
        <v>668127705.01999998</v>
      </c>
    </row>
    <row r="38" spans="1:2" x14ac:dyDescent="0.25">
      <c r="A38" s="3" t="s">
        <v>99</v>
      </c>
      <c r="B38">
        <v>1019894876.2800001</v>
      </c>
    </row>
    <row r="39" spans="1:2" x14ac:dyDescent="0.25">
      <c r="A39" s="3" t="s">
        <v>86</v>
      </c>
      <c r="B39">
        <v>2248641844.75</v>
      </c>
    </row>
    <row r="40" spans="1:2" x14ac:dyDescent="0.25">
      <c r="A40" s="3" t="s">
        <v>112</v>
      </c>
      <c r="B40">
        <v>1144700496.6200001</v>
      </c>
    </row>
    <row r="41" spans="1:2" x14ac:dyDescent="0.25">
      <c r="A41" s="3" t="s">
        <v>1360</v>
      </c>
      <c r="B41">
        <v>697566825.55000007</v>
      </c>
    </row>
    <row r="42" spans="1:2" x14ac:dyDescent="0.25">
      <c r="A42" s="3" t="s">
        <v>216</v>
      </c>
      <c r="B42">
        <v>1708364831.54</v>
      </c>
    </row>
    <row r="43" spans="1:2" x14ac:dyDescent="0.25">
      <c r="A43" s="3" t="s">
        <v>242</v>
      </c>
      <c r="B43">
        <v>443142938.44999999</v>
      </c>
    </row>
    <row r="44" spans="1:2" x14ac:dyDescent="0.25">
      <c r="A44" s="3" t="s">
        <v>268</v>
      </c>
      <c r="B44">
        <v>1038557366.9499999</v>
      </c>
    </row>
    <row r="45" spans="1:2" x14ac:dyDescent="0.25">
      <c r="A45" s="3" t="s">
        <v>1087</v>
      </c>
      <c r="B45">
        <v>555529621.04999995</v>
      </c>
    </row>
    <row r="46" spans="1:2" x14ac:dyDescent="0.25">
      <c r="A46" s="3" t="s">
        <v>151</v>
      </c>
      <c r="B46">
        <v>1004470943.9900001</v>
      </c>
    </row>
    <row r="47" spans="1:2" x14ac:dyDescent="0.25">
      <c r="A47" s="3" t="s">
        <v>307</v>
      </c>
      <c r="B47">
        <v>971532197.87999988</v>
      </c>
    </row>
    <row r="48" spans="1:2" x14ac:dyDescent="0.25">
      <c r="A48" s="3" t="s">
        <v>190</v>
      </c>
      <c r="B48">
        <v>822665479.68000007</v>
      </c>
    </row>
    <row r="49" spans="1:2" x14ac:dyDescent="0.25">
      <c r="A49" s="3" t="s">
        <v>177</v>
      </c>
      <c r="B49">
        <v>1009201293.4399999</v>
      </c>
    </row>
    <row r="50" spans="1:2" x14ac:dyDescent="0.25">
      <c r="A50" s="3" t="s">
        <v>1178</v>
      </c>
      <c r="B50">
        <v>1100656944.7299998</v>
      </c>
    </row>
    <row r="51" spans="1:2" x14ac:dyDescent="0.25">
      <c r="A51" s="3" t="s">
        <v>281</v>
      </c>
      <c r="B51">
        <v>1142682264.6900001</v>
      </c>
    </row>
    <row r="52" spans="1:2" x14ac:dyDescent="0.25">
      <c r="A52" s="3" t="s">
        <v>138</v>
      </c>
      <c r="B52">
        <v>211458243.25</v>
      </c>
    </row>
    <row r="53" spans="1:2" x14ac:dyDescent="0.25">
      <c r="A53" s="3" t="s">
        <v>203</v>
      </c>
      <c r="B53">
        <v>426715881.48000002</v>
      </c>
    </row>
    <row r="54" spans="1:2" x14ac:dyDescent="0.25">
      <c r="A54" s="3" t="s">
        <v>255</v>
      </c>
      <c r="B54">
        <v>273291233.66000003</v>
      </c>
    </row>
    <row r="55" spans="1:2" x14ac:dyDescent="0.25">
      <c r="A55" s="3" t="s">
        <v>125</v>
      </c>
      <c r="B55">
        <v>342098873.67000002</v>
      </c>
    </row>
    <row r="56" spans="1:2" x14ac:dyDescent="0.25">
      <c r="A56" s="3" t="s">
        <v>1334</v>
      </c>
      <c r="B56">
        <v>424531675.43999994</v>
      </c>
    </row>
    <row r="57" spans="1:2" x14ac:dyDescent="0.25">
      <c r="A57" s="3" t="s">
        <v>229</v>
      </c>
      <c r="B57">
        <v>392486619.27999997</v>
      </c>
    </row>
    <row r="58" spans="1:2" x14ac:dyDescent="0.25">
      <c r="A58" s="3" t="s">
        <v>918</v>
      </c>
      <c r="B58">
        <v>355834816.56999993</v>
      </c>
    </row>
    <row r="59" spans="1:2" x14ac:dyDescent="0.25">
      <c r="A59" s="3" t="s">
        <v>1295</v>
      </c>
      <c r="B59">
        <v>267001290.36000001</v>
      </c>
    </row>
    <row r="60" spans="1:2" x14ac:dyDescent="0.25">
      <c r="A60" s="3" t="s">
        <v>892</v>
      </c>
      <c r="B60">
        <v>198837043.56</v>
      </c>
    </row>
    <row r="61" spans="1:2" x14ac:dyDescent="0.25">
      <c r="A61" s="3" t="s">
        <v>1282</v>
      </c>
      <c r="B61">
        <v>143729324.53999999</v>
      </c>
    </row>
    <row r="62" spans="1:2" x14ac:dyDescent="0.25">
      <c r="A62" s="3" t="s">
        <v>1412</v>
      </c>
      <c r="B62">
        <v>171602379.47000003</v>
      </c>
    </row>
    <row r="63" spans="1:2" x14ac:dyDescent="0.25">
      <c r="A63" s="3" t="s">
        <v>1204</v>
      </c>
      <c r="B63">
        <v>159234567.62</v>
      </c>
    </row>
    <row r="64" spans="1:2" x14ac:dyDescent="0.25">
      <c r="A64" s="3" t="s">
        <v>1399</v>
      </c>
      <c r="B64">
        <v>156467083.38000003</v>
      </c>
    </row>
    <row r="65" spans="1:2" x14ac:dyDescent="0.25">
      <c r="A65" s="3" t="s">
        <v>996</v>
      </c>
      <c r="B65">
        <v>146198167.21000001</v>
      </c>
    </row>
    <row r="66" spans="1:2" x14ac:dyDescent="0.25">
      <c r="A66" s="3" t="s">
        <v>1035</v>
      </c>
      <c r="B66">
        <v>141447433.91</v>
      </c>
    </row>
    <row r="67" spans="1:2" x14ac:dyDescent="0.25">
      <c r="A67" s="3" t="s">
        <v>1113</v>
      </c>
      <c r="B67">
        <v>120394612.38000001</v>
      </c>
    </row>
    <row r="68" spans="1:2" x14ac:dyDescent="0.25">
      <c r="A68" s="3" t="s">
        <v>1230</v>
      </c>
      <c r="B68">
        <v>102219672.34</v>
      </c>
    </row>
    <row r="69" spans="1:2" x14ac:dyDescent="0.25">
      <c r="A69" s="3" t="s">
        <v>1191</v>
      </c>
      <c r="B69">
        <v>81235840.339999989</v>
      </c>
    </row>
    <row r="70" spans="1:2" x14ac:dyDescent="0.25">
      <c r="A70" s="3" t="s">
        <v>1269</v>
      </c>
      <c r="B70">
        <v>122642146.07999998</v>
      </c>
    </row>
    <row r="71" spans="1:2" x14ac:dyDescent="0.25">
      <c r="A71" s="3" t="s">
        <v>1530</v>
      </c>
      <c r="B71">
        <v>66486765414.98999</v>
      </c>
    </row>
  </sheetData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964D77-2377-4037-A510-B3A7BF5B210A}">
  <dimension ref="A1"/>
  <sheetViews>
    <sheetView workbookViewId="0">
      <selection activeCell="D10" sqref="D9:D10"/>
    </sheetView>
  </sheetViews>
  <sheetFormatPr defaultRowHeight="15" x14ac:dyDescent="0.25"/>
  <sheetData>
    <row r="1" spans="1:1" x14ac:dyDescent="0.25">
      <c r="A1" s="4">
        <f>GETPIVOTDATA("Valor Liquidado",Orçamento!$A$1)/1317548</f>
        <v>50462.499593935092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Consulta e-MEC 2026</vt:lpstr>
      <vt:lpstr>Portal da Transparência 2024</vt:lpstr>
      <vt:lpstr>Orçamento</vt:lpstr>
      <vt:lpstr>Custo por Estudante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2026-10-06T21:40:28Z</dcterms:created>
  <dcterms:modified xsi:type="dcterms:W3CDTF">2026-10-06T21:41:15Z</dcterms:modified>
</cp:coreProperties>
</file>